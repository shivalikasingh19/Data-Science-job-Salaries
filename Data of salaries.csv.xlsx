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ata of Salaries " sheetId="1" r:id="rId1"/>
  </sheets>
  <externalReferences>
    <externalReference r:id="rId2"/>
  </externalReferences>
  <definedNames>
    <definedName name="_xlnm._FilterDatabase" localSheetId="0" hidden="1">'Data of Salaries '!$B$10:$K$523</definedName>
  </definedNames>
  <calcPr calcId="124519"/>
</workbook>
</file>

<file path=xl/calcChain.xml><?xml version="1.0" encoding="utf-8"?>
<calcChain xmlns="http://schemas.openxmlformats.org/spreadsheetml/2006/main">
  <c r="B8" i="1"/>
  <c r="C8"/>
  <c r="D8"/>
  <c r="E8"/>
  <c r="F8"/>
  <c r="G8"/>
  <c r="H8"/>
  <c r="I8"/>
  <c r="J8"/>
  <c r="K8"/>
  <c r="B10"/>
  <c r="C10"/>
  <c r="D10"/>
  <c r="E10"/>
  <c r="F10"/>
  <c r="G10"/>
  <c r="H10"/>
  <c r="I10"/>
  <c r="J10"/>
  <c r="K10"/>
  <c r="B11"/>
  <c r="C11"/>
  <c r="D11"/>
  <c r="E11"/>
  <c r="M14" s="1"/>
  <c r="F11"/>
  <c r="G11"/>
  <c r="H11"/>
  <c r="I11"/>
  <c r="J11"/>
  <c r="K11"/>
  <c r="B12"/>
  <c r="C12"/>
  <c r="D12"/>
  <c r="E12"/>
  <c r="F12"/>
  <c r="G12"/>
  <c r="H12"/>
  <c r="I12"/>
  <c r="J12"/>
  <c r="K12"/>
  <c r="B13"/>
  <c r="C13"/>
  <c r="D13"/>
  <c r="E13"/>
  <c r="O12" s="1"/>
  <c r="F13"/>
  <c r="G13"/>
  <c r="H13"/>
  <c r="I13"/>
  <c r="J13"/>
  <c r="K13"/>
  <c r="B14"/>
  <c r="C14"/>
  <c r="D14"/>
  <c r="E14"/>
  <c r="O13" s="1"/>
  <c r="F14"/>
  <c r="G14"/>
  <c r="H14"/>
  <c r="I14"/>
  <c r="J14"/>
  <c r="K14"/>
  <c r="B15"/>
  <c r="C15"/>
  <c r="D15"/>
  <c r="E15"/>
  <c r="O14" s="1"/>
  <c r="F15"/>
  <c r="G15"/>
  <c r="H15"/>
  <c r="I15"/>
  <c r="J15"/>
  <c r="K15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8"/>
  <c r="C18"/>
  <c r="D18"/>
  <c r="E18"/>
  <c r="F18"/>
  <c r="G18"/>
  <c r="H18"/>
  <c r="I18"/>
  <c r="J18"/>
  <c r="K18"/>
  <c r="B19"/>
  <c r="C19"/>
  <c r="D19"/>
  <c r="E19"/>
  <c r="F19"/>
  <c r="G19"/>
  <c r="H19"/>
  <c r="I19"/>
  <c r="J19"/>
  <c r="K19"/>
  <c r="B20"/>
  <c r="C20"/>
  <c r="D20"/>
  <c r="E20"/>
  <c r="F20"/>
  <c r="G20"/>
  <c r="O32" s="1"/>
  <c r="H20"/>
  <c r="I20"/>
  <c r="J20"/>
  <c r="K20"/>
  <c r="B21"/>
  <c r="C21"/>
  <c r="D21"/>
  <c r="E21"/>
  <c r="F21"/>
  <c r="G21"/>
  <c r="H21"/>
  <c r="I21"/>
  <c r="J21"/>
  <c r="K21"/>
  <c r="M21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26"/>
  <c r="C26"/>
  <c r="D26"/>
  <c r="E26"/>
  <c r="F26"/>
  <c r="G26"/>
  <c r="O21" s="1"/>
  <c r="H26"/>
  <c r="I26"/>
  <c r="J26"/>
  <c r="K26"/>
  <c r="B27"/>
  <c r="C27"/>
  <c r="D27"/>
  <c r="E27"/>
  <c r="F27"/>
  <c r="G27"/>
  <c r="H27"/>
  <c r="I27"/>
  <c r="J27"/>
  <c r="K27"/>
  <c r="B28"/>
  <c r="C28"/>
  <c r="D28"/>
  <c r="E28"/>
  <c r="F28"/>
  <c r="G28"/>
  <c r="O39" s="1"/>
  <c r="H28"/>
  <c r="I28"/>
  <c r="J28"/>
  <c r="K28"/>
  <c r="B29"/>
  <c r="C29"/>
  <c r="D29"/>
  <c r="E29"/>
  <c r="F29"/>
  <c r="G29"/>
  <c r="H29"/>
  <c r="I29"/>
  <c r="J29"/>
  <c r="K29"/>
  <c r="B30"/>
  <c r="C30"/>
  <c r="D30"/>
  <c r="E30"/>
  <c r="F30"/>
  <c r="G30"/>
  <c r="H30"/>
  <c r="I30"/>
  <c r="J30"/>
  <c r="K3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33"/>
  <c r="C33"/>
  <c r="D33"/>
  <c r="O35" s="1"/>
  <c r="E33"/>
  <c r="F33"/>
  <c r="G33"/>
  <c r="H33"/>
  <c r="O22" s="1"/>
  <c r="I33"/>
  <c r="J33"/>
  <c r="K33"/>
  <c r="B34"/>
  <c r="C34"/>
  <c r="D34"/>
  <c r="E34"/>
  <c r="F34"/>
  <c r="G34"/>
  <c r="H34"/>
  <c r="I34"/>
  <c r="J34"/>
  <c r="K34"/>
  <c r="B35"/>
  <c r="C35"/>
  <c r="D35"/>
  <c r="E35"/>
  <c r="F35"/>
  <c r="G35"/>
  <c r="H35"/>
  <c r="I35"/>
  <c r="J35"/>
  <c r="K35"/>
  <c r="B36"/>
  <c r="C36"/>
  <c r="D36"/>
  <c r="E36"/>
  <c r="F36"/>
  <c r="G36"/>
  <c r="H36"/>
  <c r="I36"/>
  <c r="J36"/>
  <c r="K36"/>
  <c r="B37"/>
  <c r="C37"/>
  <c r="D37"/>
  <c r="O33" s="1"/>
  <c r="E37"/>
  <c r="F37"/>
  <c r="G37"/>
  <c r="H37"/>
  <c r="I37"/>
  <c r="J37"/>
  <c r="K37"/>
  <c r="B38"/>
  <c r="C38"/>
  <c r="D38"/>
  <c r="E38"/>
  <c r="F38"/>
  <c r="G38"/>
  <c r="H38"/>
  <c r="M22" s="1"/>
  <c r="I38"/>
  <c r="J38"/>
  <c r="K38"/>
  <c r="B39"/>
  <c r="C39"/>
  <c r="D39"/>
  <c r="E39"/>
  <c r="F39"/>
  <c r="G39"/>
  <c r="H39"/>
  <c r="I39"/>
  <c r="J39"/>
  <c r="K39"/>
  <c r="B40"/>
  <c r="C40"/>
  <c r="D40"/>
  <c r="E40"/>
  <c r="F40"/>
  <c r="G40"/>
  <c r="H40"/>
  <c r="I40"/>
  <c r="J40"/>
  <c r="K40"/>
  <c r="B41"/>
  <c r="C41"/>
  <c r="D41"/>
  <c r="E41"/>
  <c r="F41"/>
  <c r="G41"/>
  <c r="H41"/>
  <c r="I41"/>
  <c r="J41"/>
  <c r="K41"/>
  <c r="B42"/>
  <c r="C42"/>
  <c r="D42"/>
  <c r="E42"/>
  <c r="F42"/>
  <c r="G42"/>
  <c r="H42"/>
  <c r="I42"/>
  <c r="J42"/>
  <c r="K42"/>
  <c r="B43"/>
  <c r="C43"/>
  <c r="D43"/>
  <c r="E43"/>
  <c r="F43"/>
  <c r="G43"/>
  <c r="H43"/>
  <c r="I43"/>
  <c r="J43"/>
  <c r="K43"/>
  <c r="B44"/>
  <c r="C44"/>
  <c r="D44"/>
  <c r="E44"/>
  <c r="F44"/>
  <c r="G44"/>
  <c r="H44"/>
  <c r="I44"/>
  <c r="J44"/>
  <c r="K44"/>
  <c r="P44"/>
  <c r="Q44"/>
  <c r="B45"/>
  <c r="C45"/>
  <c r="D45"/>
  <c r="E45"/>
  <c r="F45"/>
  <c r="G45"/>
  <c r="H45"/>
  <c r="I45"/>
  <c r="J45"/>
  <c r="K45"/>
  <c r="B46"/>
  <c r="C46"/>
  <c r="D46"/>
  <c r="E46"/>
  <c r="F46"/>
  <c r="G46"/>
  <c r="H46"/>
  <c r="I46"/>
  <c r="J46"/>
  <c r="K46"/>
  <c r="B47"/>
  <c r="C47"/>
  <c r="D47"/>
  <c r="E47"/>
  <c r="F47"/>
  <c r="G47"/>
  <c r="H47"/>
  <c r="I47"/>
  <c r="J47"/>
  <c r="K47"/>
  <c r="B48"/>
  <c r="C48"/>
  <c r="D48"/>
  <c r="E48"/>
  <c r="F48"/>
  <c r="G48"/>
  <c r="H48"/>
  <c r="I48"/>
  <c r="J48"/>
  <c r="K48"/>
  <c r="B49"/>
  <c r="C49"/>
  <c r="D49"/>
  <c r="E49"/>
  <c r="F49"/>
  <c r="G49"/>
  <c r="H49"/>
  <c r="I49"/>
  <c r="J49"/>
  <c r="K49"/>
  <c r="B50"/>
  <c r="C50"/>
  <c r="D50"/>
  <c r="E50"/>
  <c r="F50"/>
  <c r="G50"/>
  <c r="H50"/>
  <c r="I50"/>
  <c r="J50"/>
  <c r="K50"/>
  <c r="B51"/>
  <c r="C51"/>
  <c r="D51"/>
  <c r="E51"/>
  <c r="F51"/>
  <c r="G51"/>
  <c r="H51"/>
  <c r="I51"/>
  <c r="J51"/>
  <c r="K51"/>
  <c r="B52"/>
  <c r="C52"/>
  <c r="D52"/>
  <c r="E52"/>
  <c r="F52"/>
  <c r="G52"/>
  <c r="H52"/>
  <c r="I52"/>
  <c r="J52"/>
  <c r="K52"/>
  <c r="B53"/>
  <c r="C53"/>
  <c r="D53"/>
  <c r="E53"/>
  <c r="F53"/>
  <c r="G53"/>
  <c r="H53"/>
  <c r="I53"/>
  <c r="J53"/>
  <c r="K53"/>
  <c r="B54"/>
  <c r="C54"/>
  <c r="D54"/>
  <c r="E54"/>
  <c r="F54"/>
  <c r="G54"/>
  <c r="H54"/>
  <c r="I54"/>
  <c r="J54"/>
  <c r="K54"/>
  <c r="B55"/>
  <c r="C55"/>
  <c r="D55"/>
  <c r="E55"/>
  <c r="F55"/>
  <c r="G55"/>
  <c r="H55"/>
  <c r="M24" s="1"/>
  <c r="I55"/>
  <c r="J55"/>
  <c r="K55"/>
  <c r="B56"/>
  <c r="C56"/>
  <c r="D56"/>
  <c r="E56"/>
  <c r="F56"/>
  <c r="G56"/>
  <c r="H56"/>
  <c r="I56"/>
  <c r="J56"/>
  <c r="K56"/>
  <c r="B57"/>
  <c r="C57"/>
  <c r="D57"/>
  <c r="E57"/>
  <c r="F57"/>
  <c r="G57"/>
  <c r="H57"/>
  <c r="I57"/>
  <c r="J57"/>
  <c r="K57"/>
  <c r="B58"/>
  <c r="C58"/>
  <c r="D58"/>
  <c r="E58"/>
  <c r="F58"/>
  <c r="G58"/>
  <c r="H58"/>
  <c r="I58"/>
  <c r="J58"/>
  <c r="K58"/>
  <c r="B59"/>
  <c r="C59"/>
  <c r="D59"/>
  <c r="E59"/>
  <c r="F59"/>
  <c r="G59"/>
  <c r="H59"/>
  <c r="I59"/>
  <c r="J59"/>
  <c r="K59"/>
  <c r="B60"/>
  <c r="C60"/>
  <c r="D60"/>
  <c r="E60"/>
  <c r="F60"/>
  <c r="G60"/>
  <c r="H60"/>
  <c r="I60"/>
  <c r="J60"/>
  <c r="K60"/>
  <c r="B61"/>
  <c r="C61"/>
  <c r="D61"/>
  <c r="E61"/>
  <c r="F61"/>
  <c r="G61"/>
  <c r="H61"/>
  <c r="I61"/>
  <c r="J61"/>
  <c r="K61"/>
  <c r="B62"/>
  <c r="C62"/>
  <c r="D62"/>
  <c r="E62"/>
  <c r="F62"/>
  <c r="G62"/>
  <c r="H62"/>
  <c r="I62"/>
  <c r="J62"/>
  <c r="K62"/>
  <c r="B63"/>
  <c r="C63"/>
  <c r="D63"/>
  <c r="E63"/>
  <c r="F63"/>
  <c r="G63"/>
  <c r="H63"/>
  <c r="I63"/>
  <c r="J63"/>
  <c r="K63"/>
  <c r="B64"/>
  <c r="C64"/>
  <c r="D64"/>
  <c r="E64"/>
  <c r="F64"/>
  <c r="G64"/>
  <c r="H64"/>
  <c r="M23" s="1"/>
  <c r="I64"/>
  <c r="J64"/>
  <c r="K64"/>
  <c r="B65"/>
  <c r="C65"/>
  <c r="D65"/>
  <c r="O37" s="1"/>
  <c r="E65"/>
  <c r="F65"/>
  <c r="G65"/>
  <c r="H65"/>
  <c r="I65"/>
  <c r="J65"/>
  <c r="K65"/>
  <c r="B66"/>
  <c r="C66"/>
  <c r="D66"/>
  <c r="E66"/>
  <c r="F66"/>
  <c r="G66"/>
  <c r="H66"/>
  <c r="I66"/>
  <c r="J66"/>
  <c r="K66"/>
  <c r="B67"/>
  <c r="C67"/>
  <c r="D67"/>
  <c r="E67"/>
  <c r="F67"/>
  <c r="G67"/>
  <c r="H67"/>
  <c r="I67"/>
  <c r="J67"/>
  <c r="K67"/>
  <c r="B68"/>
  <c r="C68"/>
  <c r="D68"/>
  <c r="E68"/>
  <c r="F68"/>
  <c r="G68"/>
  <c r="H68"/>
  <c r="I68"/>
  <c r="J68"/>
  <c r="K68"/>
  <c r="B69"/>
  <c r="C69"/>
  <c r="D69"/>
  <c r="E69"/>
  <c r="F69"/>
  <c r="G69"/>
  <c r="H69"/>
  <c r="I69"/>
  <c r="J69"/>
  <c r="K69"/>
  <c r="B70"/>
  <c r="C70"/>
  <c r="D70"/>
  <c r="E70"/>
  <c r="F70"/>
  <c r="G70"/>
  <c r="H70"/>
  <c r="I70"/>
  <c r="J70"/>
  <c r="K70"/>
  <c r="B71"/>
  <c r="C71"/>
  <c r="D71"/>
  <c r="E71"/>
  <c r="F71"/>
  <c r="G71"/>
  <c r="H71"/>
  <c r="I71"/>
  <c r="J71"/>
  <c r="K71"/>
  <c r="B72"/>
  <c r="C72"/>
  <c r="D72"/>
  <c r="E72"/>
  <c r="F72"/>
  <c r="G72"/>
  <c r="H72"/>
  <c r="I72"/>
  <c r="J72"/>
  <c r="K72"/>
  <c r="B73"/>
  <c r="C73"/>
  <c r="D73"/>
  <c r="E73"/>
  <c r="F73"/>
  <c r="G73"/>
  <c r="H73"/>
  <c r="I73"/>
  <c r="J73"/>
  <c r="K73"/>
  <c r="B74"/>
  <c r="C74"/>
  <c r="D74"/>
  <c r="E74"/>
  <c r="F74"/>
  <c r="G74"/>
  <c r="H74"/>
  <c r="I74"/>
  <c r="J74"/>
  <c r="K74"/>
  <c r="B75"/>
  <c r="C75"/>
  <c r="D75"/>
  <c r="E75"/>
  <c r="F75"/>
  <c r="G75"/>
  <c r="H75"/>
  <c r="I75"/>
  <c r="J75"/>
  <c r="K75"/>
  <c r="B76"/>
  <c r="C76"/>
  <c r="D76"/>
  <c r="E76"/>
  <c r="F76"/>
  <c r="G76"/>
  <c r="H76"/>
  <c r="I76"/>
  <c r="J76"/>
  <c r="K76"/>
  <c r="B77"/>
  <c r="C77"/>
  <c r="D77"/>
  <c r="E77"/>
  <c r="F77"/>
  <c r="G77"/>
  <c r="H77"/>
  <c r="I77"/>
  <c r="J77"/>
  <c r="K77"/>
  <c r="B78"/>
  <c r="C78"/>
  <c r="D78"/>
  <c r="E78"/>
  <c r="F78"/>
  <c r="G78"/>
  <c r="H78"/>
  <c r="I78"/>
  <c r="J78"/>
  <c r="K78"/>
  <c r="B79"/>
  <c r="C79"/>
  <c r="D79"/>
  <c r="E79"/>
  <c r="F79"/>
  <c r="G79"/>
  <c r="H79"/>
  <c r="I79"/>
  <c r="J79"/>
  <c r="K79"/>
  <c r="B80"/>
  <c r="C80"/>
  <c r="D80"/>
  <c r="E80"/>
  <c r="F80"/>
  <c r="G80"/>
  <c r="H80"/>
  <c r="I80"/>
  <c r="J80"/>
  <c r="K80"/>
  <c r="B81"/>
  <c r="C81"/>
  <c r="D81"/>
  <c r="E81"/>
  <c r="F81"/>
  <c r="G81"/>
  <c r="H81"/>
  <c r="I81"/>
  <c r="J81"/>
  <c r="K81"/>
  <c r="B82"/>
  <c r="C82"/>
  <c r="D82"/>
  <c r="E82"/>
  <c r="F82"/>
  <c r="G82"/>
  <c r="H82"/>
  <c r="I82"/>
  <c r="J82"/>
  <c r="K82"/>
  <c r="B83"/>
  <c r="C83"/>
  <c r="D83"/>
  <c r="E83"/>
  <c r="F83"/>
  <c r="G83"/>
  <c r="H83"/>
  <c r="I83"/>
  <c r="J83"/>
  <c r="K83"/>
  <c r="B84"/>
  <c r="C84"/>
  <c r="D84"/>
  <c r="E84"/>
  <c r="F84"/>
  <c r="G84"/>
  <c r="H84"/>
  <c r="I84"/>
  <c r="J84"/>
  <c r="K84"/>
  <c r="B85"/>
  <c r="C85"/>
  <c r="D85"/>
  <c r="E85"/>
  <c r="F85"/>
  <c r="G85"/>
  <c r="H85"/>
  <c r="I85"/>
  <c r="J85"/>
  <c r="K85"/>
  <c r="B86"/>
  <c r="C86"/>
  <c r="D86"/>
  <c r="E86"/>
  <c r="F86"/>
  <c r="G86"/>
  <c r="H86"/>
  <c r="I86"/>
  <c r="J86"/>
  <c r="K86"/>
  <c r="B87"/>
  <c r="C87"/>
  <c r="D87"/>
  <c r="E87"/>
  <c r="F87"/>
  <c r="G87"/>
  <c r="H87"/>
  <c r="I87"/>
  <c r="J87"/>
  <c r="K87"/>
  <c r="B88"/>
  <c r="C88"/>
  <c r="D88"/>
  <c r="E88"/>
  <c r="F88"/>
  <c r="G88"/>
  <c r="H88"/>
  <c r="I88"/>
  <c r="J88"/>
  <c r="K88"/>
  <c r="B89"/>
  <c r="C89"/>
  <c r="D89"/>
  <c r="E89"/>
  <c r="F89"/>
  <c r="G89"/>
  <c r="H89"/>
  <c r="I89"/>
  <c r="J89"/>
  <c r="K89"/>
  <c r="B90"/>
  <c r="C90"/>
  <c r="D90"/>
  <c r="E90"/>
  <c r="F90"/>
  <c r="G90"/>
  <c r="H90"/>
  <c r="I90"/>
  <c r="J90"/>
  <c r="K90"/>
  <c r="B91"/>
  <c r="C91"/>
  <c r="D91"/>
  <c r="E91"/>
  <c r="F91"/>
  <c r="G91"/>
  <c r="H91"/>
  <c r="I91"/>
  <c r="J91"/>
  <c r="K91"/>
  <c r="B92"/>
  <c r="C92"/>
  <c r="D92"/>
  <c r="E92"/>
  <c r="F92"/>
  <c r="G92"/>
  <c r="H92"/>
  <c r="I92"/>
  <c r="J92"/>
  <c r="K92"/>
  <c r="B93"/>
  <c r="C93"/>
  <c r="D93"/>
  <c r="E93"/>
  <c r="F93"/>
  <c r="G93"/>
  <c r="H93"/>
  <c r="I93"/>
  <c r="J93"/>
  <c r="K93"/>
  <c r="B94"/>
  <c r="C94"/>
  <c r="D94"/>
  <c r="E94"/>
  <c r="F94"/>
  <c r="G94"/>
  <c r="H94"/>
  <c r="I94"/>
  <c r="J94"/>
  <c r="K94"/>
  <c r="B95"/>
  <c r="C95"/>
  <c r="D95"/>
  <c r="E95"/>
  <c r="F95"/>
  <c r="G95"/>
  <c r="H95"/>
  <c r="I95"/>
  <c r="J95"/>
  <c r="K95"/>
  <c r="B96"/>
  <c r="C96"/>
  <c r="D96"/>
  <c r="E96"/>
  <c r="F96"/>
  <c r="G96"/>
  <c r="H96"/>
  <c r="I96"/>
  <c r="J96"/>
  <c r="K96"/>
  <c r="B97"/>
  <c r="C97"/>
  <c r="D97"/>
  <c r="E97"/>
  <c r="F97"/>
  <c r="G97"/>
  <c r="H97"/>
  <c r="I97"/>
  <c r="J97"/>
  <c r="K97"/>
  <c r="B98"/>
  <c r="C98"/>
  <c r="D98"/>
  <c r="E98"/>
  <c r="F98"/>
  <c r="G98"/>
  <c r="H98"/>
  <c r="I98"/>
  <c r="J98"/>
  <c r="K98"/>
  <c r="B99"/>
  <c r="C99"/>
  <c r="D99"/>
  <c r="E99"/>
  <c r="F99"/>
  <c r="G99"/>
  <c r="H99"/>
  <c r="I99"/>
  <c r="J99"/>
  <c r="K99"/>
  <c r="B100"/>
  <c r="C100"/>
  <c r="D100"/>
  <c r="E100"/>
  <c r="F100"/>
  <c r="G100"/>
  <c r="H100"/>
  <c r="I100"/>
  <c r="J100"/>
  <c r="K100"/>
  <c r="B101"/>
  <c r="C101"/>
  <c r="D101"/>
  <c r="E101"/>
  <c r="F101"/>
  <c r="G101"/>
  <c r="H101"/>
  <c r="I101"/>
  <c r="J101"/>
  <c r="K101"/>
  <c r="B102"/>
  <c r="C102"/>
  <c r="D102"/>
  <c r="E102"/>
  <c r="F102"/>
  <c r="G102"/>
  <c r="H102"/>
  <c r="I102"/>
  <c r="J102"/>
  <c r="K102"/>
  <c r="B103"/>
  <c r="C103"/>
  <c r="D103"/>
  <c r="E103"/>
  <c r="F103"/>
  <c r="G103"/>
  <c r="H103"/>
  <c r="I103"/>
  <c r="J103"/>
  <c r="K103"/>
  <c r="B104"/>
  <c r="C104"/>
  <c r="D104"/>
  <c r="E104"/>
  <c r="F104"/>
  <c r="G104"/>
  <c r="H104"/>
  <c r="I104"/>
  <c r="J104"/>
  <c r="K104"/>
  <c r="B105"/>
  <c r="C105"/>
  <c r="D105"/>
  <c r="E105"/>
  <c r="F105"/>
  <c r="G105"/>
  <c r="H105"/>
  <c r="I105"/>
  <c r="J105"/>
  <c r="K105"/>
  <c r="B106"/>
  <c r="C106"/>
  <c r="D106"/>
  <c r="E106"/>
  <c r="F106"/>
  <c r="G106"/>
  <c r="H106"/>
  <c r="I106"/>
  <c r="J106"/>
  <c r="K106"/>
  <c r="B107"/>
  <c r="C107"/>
  <c r="D107"/>
  <c r="E107"/>
  <c r="F107"/>
  <c r="G107"/>
  <c r="H107"/>
  <c r="I107"/>
  <c r="J107"/>
  <c r="K107"/>
  <c r="B108"/>
  <c r="C108"/>
  <c r="D108"/>
  <c r="E108"/>
  <c r="F108"/>
  <c r="G108"/>
  <c r="H108"/>
  <c r="I108"/>
  <c r="J108"/>
  <c r="K108"/>
  <c r="B109"/>
  <c r="C109"/>
  <c r="D109"/>
  <c r="E109"/>
  <c r="F109"/>
  <c r="G109"/>
  <c r="H109"/>
  <c r="I109"/>
  <c r="J109"/>
  <c r="K109"/>
  <c r="B110"/>
  <c r="C110"/>
  <c r="D110"/>
  <c r="E110"/>
  <c r="F110"/>
  <c r="G110"/>
  <c r="H110"/>
  <c r="I110"/>
  <c r="J110"/>
  <c r="K110"/>
  <c r="B111"/>
  <c r="C111"/>
  <c r="D111"/>
  <c r="E111"/>
  <c r="F111"/>
  <c r="G111"/>
  <c r="H111"/>
  <c r="I111"/>
  <c r="J111"/>
  <c r="K111"/>
  <c r="B112"/>
  <c r="C112"/>
  <c r="D112"/>
  <c r="E112"/>
  <c r="F112"/>
  <c r="G112"/>
  <c r="H112"/>
  <c r="I112"/>
  <c r="J112"/>
  <c r="K112"/>
  <c r="B113"/>
  <c r="C113"/>
  <c r="D113"/>
  <c r="E113"/>
  <c r="F113"/>
  <c r="G113"/>
  <c r="H113"/>
  <c r="I113"/>
  <c r="J113"/>
  <c r="K113"/>
  <c r="B114"/>
  <c r="C114"/>
  <c r="D114"/>
  <c r="E114"/>
  <c r="F114"/>
  <c r="G114"/>
  <c r="H114"/>
  <c r="I114"/>
  <c r="J114"/>
  <c r="K114"/>
  <c r="B115"/>
  <c r="C115"/>
  <c r="D115"/>
  <c r="E115"/>
  <c r="F115"/>
  <c r="G115"/>
  <c r="H115"/>
  <c r="I115"/>
  <c r="J115"/>
  <c r="K115"/>
  <c r="B116"/>
  <c r="C116"/>
  <c r="D116"/>
  <c r="E116"/>
  <c r="F116"/>
  <c r="G116"/>
  <c r="H116"/>
  <c r="I116"/>
  <c r="J116"/>
  <c r="K116"/>
  <c r="B117"/>
  <c r="C117"/>
  <c r="D117"/>
  <c r="E117"/>
  <c r="F117"/>
  <c r="G117"/>
  <c r="H117"/>
  <c r="I117"/>
  <c r="J117"/>
  <c r="K117"/>
  <c r="B118"/>
  <c r="C118"/>
  <c r="D118"/>
  <c r="E118"/>
  <c r="F118"/>
  <c r="G118"/>
  <c r="H118"/>
  <c r="I118"/>
  <c r="J118"/>
  <c r="K118"/>
  <c r="B119"/>
  <c r="C119"/>
  <c r="D119"/>
  <c r="E119"/>
  <c r="F119"/>
  <c r="G119"/>
  <c r="H119"/>
  <c r="I119"/>
  <c r="J119"/>
  <c r="K119"/>
  <c r="B120"/>
  <c r="C120"/>
  <c r="D120"/>
  <c r="E120"/>
  <c r="F120"/>
  <c r="G120"/>
  <c r="H120"/>
  <c r="I120"/>
  <c r="J120"/>
  <c r="K120"/>
  <c r="B121"/>
  <c r="C121"/>
  <c r="D121"/>
  <c r="E121"/>
  <c r="F121"/>
  <c r="G121"/>
  <c r="H121"/>
  <c r="I121"/>
  <c r="J121"/>
  <c r="K121"/>
  <c r="B122"/>
  <c r="C122"/>
  <c r="D122"/>
  <c r="E122"/>
  <c r="F122"/>
  <c r="G122"/>
  <c r="H122"/>
  <c r="I122"/>
  <c r="J122"/>
  <c r="K122"/>
  <c r="B123"/>
  <c r="C123"/>
  <c r="D123"/>
  <c r="E123"/>
  <c r="F123"/>
  <c r="G123"/>
  <c r="H123"/>
  <c r="I123"/>
  <c r="J123"/>
  <c r="K123"/>
  <c r="B124"/>
  <c r="C124"/>
  <c r="D124"/>
  <c r="E124"/>
  <c r="F124"/>
  <c r="G124"/>
  <c r="H124"/>
  <c r="I124"/>
  <c r="J124"/>
  <c r="K124"/>
  <c r="B125"/>
  <c r="C125"/>
  <c r="D125"/>
  <c r="E125"/>
  <c r="F125"/>
  <c r="G125"/>
  <c r="H125"/>
  <c r="I125"/>
  <c r="J125"/>
  <c r="K125"/>
  <c r="B126"/>
  <c r="C126"/>
  <c r="D126"/>
  <c r="E126"/>
  <c r="F126"/>
  <c r="G126"/>
  <c r="H126"/>
  <c r="I126"/>
  <c r="J126"/>
  <c r="K126"/>
  <c r="B127"/>
  <c r="C127"/>
  <c r="D127"/>
  <c r="E127"/>
  <c r="F127"/>
  <c r="G127"/>
  <c r="H127"/>
  <c r="I127"/>
  <c r="J127"/>
  <c r="K127"/>
  <c r="B128"/>
  <c r="C128"/>
  <c r="D128"/>
  <c r="E128"/>
  <c r="F128"/>
  <c r="G128"/>
  <c r="H128"/>
  <c r="I128"/>
  <c r="J128"/>
  <c r="K128"/>
  <c r="B129"/>
  <c r="C129"/>
  <c r="D129"/>
  <c r="E129"/>
  <c r="F129"/>
  <c r="G129"/>
  <c r="H129"/>
  <c r="I129"/>
  <c r="J129"/>
  <c r="K129"/>
  <c r="B130"/>
  <c r="C130"/>
  <c r="D130"/>
  <c r="E130"/>
  <c r="F130"/>
  <c r="G130"/>
  <c r="H130"/>
  <c r="I130"/>
  <c r="J130"/>
  <c r="K130"/>
  <c r="B131"/>
  <c r="C131"/>
  <c r="D131"/>
  <c r="E131"/>
  <c r="F131"/>
  <c r="G131"/>
  <c r="H131"/>
  <c r="I131"/>
  <c r="J131"/>
  <c r="K131"/>
  <c r="B132"/>
  <c r="C132"/>
  <c r="D132"/>
  <c r="E132"/>
  <c r="F132"/>
  <c r="G132"/>
  <c r="H132"/>
  <c r="I132"/>
  <c r="J132"/>
  <c r="K132"/>
  <c r="B133"/>
  <c r="C133"/>
  <c r="D133"/>
  <c r="E133"/>
  <c r="F133"/>
  <c r="G133"/>
  <c r="H133"/>
  <c r="I133"/>
  <c r="J133"/>
  <c r="K133"/>
  <c r="B134"/>
  <c r="C134"/>
  <c r="D134"/>
  <c r="E134"/>
  <c r="F134"/>
  <c r="G134"/>
  <c r="H134"/>
  <c r="I134"/>
  <c r="J134"/>
  <c r="K134"/>
  <c r="B135"/>
  <c r="C135"/>
  <c r="D135"/>
  <c r="E135"/>
  <c r="F135"/>
  <c r="G135"/>
  <c r="H135"/>
  <c r="I135"/>
  <c r="J135"/>
  <c r="K135"/>
  <c r="B136"/>
  <c r="C136"/>
  <c r="D136"/>
  <c r="E136"/>
  <c r="F136"/>
  <c r="G136"/>
  <c r="H136"/>
  <c r="I136"/>
  <c r="J136"/>
  <c r="K136"/>
  <c r="B137"/>
  <c r="C137"/>
  <c r="D137"/>
  <c r="E137"/>
  <c r="F137"/>
  <c r="G137"/>
  <c r="H137"/>
  <c r="I137"/>
  <c r="J137"/>
  <c r="K137"/>
  <c r="B138"/>
  <c r="C138"/>
  <c r="D138"/>
  <c r="E138"/>
  <c r="F138"/>
  <c r="G138"/>
  <c r="H138"/>
  <c r="I138"/>
  <c r="J138"/>
  <c r="K138"/>
  <c r="B139"/>
  <c r="C139"/>
  <c r="D139"/>
  <c r="E139"/>
  <c r="F139"/>
  <c r="G139"/>
  <c r="H139"/>
  <c r="I139"/>
  <c r="J139"/>
  <c r="K139"/>
  <c r="B140"/>
  <c r="C140"/>
  <c r="D140"/>
  <c r="E140"/>
  <c r="F140"/>
  <c r="G140"/>
  <c r="H140"/>
  <c r="I140"/>
  <c r="J140"/>
  <c r="K140"/>
  <c r="B141"/>
  <c r="C141"/>
  <c r="D141"/>
  <c r="E141"/>
  <c r="F141"/>
  <c r="G141"/>
  <c r="H141"/>
  <c r="I141"/>
  <c r="J141"/>
  <c r="K141"/>
  <c r="B142"/>
  <c r="C142"/>
  <c r="D142"/>
  <c r="E142"/>
  <c r="F142"/>
  <c r="G142"/>
  <c r="H142"/>
  <c r="I142"/>
  <c r="J142"/>
  <c r="K142"/>
  <c r="B143"/>
  <c r="C143"/>
  <c r="D143"/>
  <c r="E143"/>
  <c r="F143"/>
  <c r="G143"/>
  <c r="H143"/>
  <c r="I143"/>
  <c r="J143"/>
  <c r="K143"/>
  <c r="B144"/>
  <c r="C144"/>
  <c r="D144"/>
  <c r="E144"/>
  <c r="F144"/>
  <c r="G144"/>
  <c r="H144"/>
  <c r="I144"/>
  <c r="J144"/>
  <c r="K144"/>
  <c r="B145"/>
  <c r="C145"/>
  <c r="D145"/>
  <c r="E145"/>
  <c r="F145"/>
  <c r="G145"/>
  <c r="H145"/>
  <c r="I145"/>
  <c r="J145"/>
  <c r="K145"/>
  <c r="B146"/>
  <c r="C146"/>
  <c r="D146"/>
  <c r="E146"/>
  <c r="F146"/>
  <c r="G146"/>
  <c r="H146"/>
  <c r="I146"/>
  <c r="J146"/>
  <c r="K146"/>
  <c r="B147"/>
  <c r="C147"/>
  <c r="D147"/>
  <c r="E147"/>
  <c r="F147"/>
  <c r="G147"/>
  <c r="H147"/>
  <c r="I147"/>
  <c r="J147"/>
  <c r="K147"/>
  <c r="B148"/>
  <c r="C148"/>
  <c r="D148"/>
  <c r="E148"/>
  <c r="F148"/>
  <c r="G148"/>
  <c r="H148"/>
  <c r="I148"/>
  <c r="J148"/>
  <c r="K148"/>
  <c r="B149"/>
  <c r="C149"/>
  <c r="D149"/>
  <c r="E149"/>
  <c r="F149"/>
  <c r="G149"/>
  <c r="H149"/>
  <c r="I149"/>
  <c r="J149"/>
  <c r="K149"/>
  <c r="B150"/>
  <c r="C150"/>
  <c r="D150"/>
  <c r="E150"/>
  <c r="F150"/>
  <c r="G150"/>
  <c r="H150"/>
  <c r="I150"/>
  <c r="J150"/>
  <c r="K150"/>
  <c r="B151"/>
  <c r="C151"/>
  <c r="D151"/>
  <c r="E151"/>
  <c r="F151"/>
  <c r="G151"/>
  <c r="H151"/>
  <c r="I151"/>
  <c r="J151"/>
  <c r="K151"/>
  <c r="B152"/>
  <c r="C152"/>
  <c r="D152"/>
  <c r="E152"/>
  <c r="F152"/>
  <c r="G152"/>
  <c r="H152"/>
  <c r="I152"/>
  <c r="J152"/>
  <c r="K152"/>
  <c r="B153"/>
  <c r="C153"/>
  <c r="D153"/>
  <c r="E153"/>
  <c r="F153"/>
  <c r="G153"/>
  <c r="H153"/>
  <c r="I153"/>
  <c r="J153"/>
  <c r="K153"/>
  <c r="B154"/>
  <c r="C154"/>
  <c r="D154"/>
  <c r="E154"/>
  <c r="F154"/>
  <c r="G154"/>
  <c r="H154"/>
  <c r="I154"/>
  <c r="J154"/>
  <c r="K154"/>
  <c r="B155"/>
  <c r="C155"/>
  <c r="D155"/>
  <c r="E155"/>
  <c r="F155"/>
  <c r="G155"/>
  <c r="H155"/>
  <c r="I155"/>
  <c r="J155"/>
  <c r="K155"/>
  <c r="B156"/>
  <c r="C156"/>
  <c r="D156"/>
  <c r="E156"/>
  <c r="F156"/>
  <c r="G156"/>
  <c r="H156"/>
  <c r="I156"/>
  <c r="J156"/>
  <c r="K156"/>
  <c r="B157"/>
  <c r="C157"/>
  <c r="D157"/>
  <c r="E157"/>
  <c r="F157"/>
  <c r="G157"/>
  <c r="H157"/>
  <c r="I157"/>
  <c r="J157"/>
  <c r="K157"/>
  <c r="B158"/>
  <c r="C158"/>
  <c r="D158"/>
  <c r="E158"/>
  <c r="F158"/>
  <c r="G158"/>
  <c r="H158"/>
  <c r="I158"/>
  <c r="J158"/>
  <c r="K158"/>
  <c r="B159"/>
  <c r="C159"/>
  <c r="D159"/>
  <c r="E159"/>
  <c r="F159"/>
  <c r="G159"/>
  <c r="H159"/>
  <c r="I159"/>
  <c r="J159"/>
  <c r="K159"/>
  <c r="B160"/>
  <c r="C160"/>
  <c r="D160"/>
  <c r="E160"/>
  <c r="F160"/>
  <c r="G160"/>
  <c r="H160"/>
  <c r="I160"/>
  <c r="J160"/>
  <c r="K160"/>
  <c r="B161"/>
  <c r="C161"/>
  <c r="D161"/>
  <c r="E161"/>
  <c r="F161"/>
  <c r="G161"/>
  <c r="H161"/>
  <c r="I161"/>
  <c r="J161"/>
  <c r="K161"/>
  <c r="B162"/>
  <c r="C162"/>
  <c r="D162"/>
  <c r="E162"/>
  <c r="F162"/>
  <c r="G162"/>
  <c r="H162"/>
  <c r="I162"/>
  <c r="J162"/>
  <c r="K162"/>
  <c r="B163"/>
  <c r="C163"/>
  <c r="D163"/>
  <c r="E163"/>
  <c r="F163"/>
  <c r="G163"/>
  <c r="H163"/>
  <c r="I163"/>
  <c r="J163"/>
  <c r="K163"/>
  <c r="B164"/>
  <c r="C164"/>
  <c r="D164"/>
  <c r="E164"/>
  <c r="F164"/>
  <c r="G164"/>
  <c r="H164"/>
  <c r="I164"/>
  <c r="J164"/>
  <c r="K164"/>
  <c r="B165"/>
  <c r="C165"/>
  <c r="D165"/>
  <c r="E165"/>
  <c r="F165"/>
  <c r="G165"/>
  <c r="H165"/>
  <c r="I165"/>
  <c r="J165"/>
  <c r="K165"/>
  <c r="B166"/>
  <c r="C166"/>
  <c r="D166"/>
  <c r="E166"/>
  <c r="F166"/>
  <c r="G166"/>
  <c r="H166"/>
  <c r="I166"/>
  <c r="J166"/>
  <c r="K166"/>
  <c r="B167"/>
  <c r="C167"/>
  <c r="D167"/>
  <c r="E167"/>
  <c r="F167"/>
  <c r="G167"/>
  <c r="H167"/>
  <c r="I167"/>
  <c r="J167"/>
  <c r="K167"/>
  <c r="B168"/>
  <c r="C168"/>
  <c r="D168"/>
  <c r="E168"/>
  <c r="F168"/>
  <c r="G168"/>
  <c r="H168"/>
  <c r="I168"/>
  <c r="J168"/>
  <c r="K168"/>
  <c r="B169"/>
  <c r="C169"/>
  <c r="D169"/>
  <c r="E169"/>
  <c r="F169"/>
  <c r="G169"/>
  <c r="H169"/>
  <c r="I169"/>
  <c r="J169"/>
  <c r="K169"/>
  <c r="B170"/>
  <c r="C170"/>
  <c r="D170"/>
  <c r="E170"/>
  <c r="F170"/>
  <c r="G170"/>
  <c r="H170"/>
  <c r="I170"/>
  <c r="J170"/>
  <c r="K170"/>
  <c r="B171"/>
  <c r="C171"/>
  <c r="D171"/>
  <c r="E171"/>
  <c r="F171"/>
  <c r="G171"/>
  <c r="H171"/>
  <c r="I171"/>
  <c r="J171"/>
  <c r="K171"/>
  <c r="B172"/>
  <c r="C172"/>
  <c r="D172"/>
  <c r="E172"/>
  <c r="F172"/>
  <c r="G172"/>
  <c r="H172"/>
  <c r="I172"/>
  <c r="J172"/>
  <c r="K172"/>
  <c r="B173"/>
  <c r="C173"/>
  <c r="D173"/>
  <c r="E173"/>
  <c r="F173"/>
  <c r="G173"/>
  <c r="H173"/>
  <c r="I173"/>
  <c r="J173"/>
  <c r="K173"/>
  <c r="B174"/>
  <c r="C174"/>
  <c r="D174"/>
  <c r="E174"/>
  <c r="F174"/>
  <c r="G174"/>
  <c r="H174"/>
  <c r="I174"/>
  <c r="J174"/>
  <c r="K174"/>
  <c r="B175"/>
  <c r="C175"/>
  <c r="D175"/>
  <c r="E175"/>
  <c r="F175"/>
  <c r="G175"/>
  <c r="H175"/>
  <c r="I175"/>
  <c r="J175"/>
  <c r="K175"/>
  <c r="B176"/>
  <c r="C176"/>
  <c r="D176"/>
  <c r="E176"/>
  <c r="F176"/>
  <c r="G176"/>
  <c r="H176"/>
  <c r="I176"/>
  <c r="J176"/>
  <c r="K176"/>
  <c r="B177"/>
  <c r="C177"/>
  <c r="D177"/>
  <c r="E177"/>
  <c r="F177"/>
  <c r="G177"/>
  <c r="H177"/>
  <c r="I177"/>
  <c r="J177"/>
  <c r="K177"/>
  <c r="B178"/>
  <c r="C178"/>
  <c r="D178"/>
  <c r="E178"/>
  <c r="F178"/>
  <c r="G178"/>
  <c r="H178"/>
  <c r="I178"/>
  <c r="J178"/>
  <c r="K178"/>
  <c r="B179"/>
  <c r="C179"/>
  <c r="D179"/>
  <c r="E179"/>
  <c r="F179"/>
  <c r="G179"/>
  <c r="H179"/>
  <c r="I179"/>
  <c r="J179"/>
  <c r="K179"/>
  <c r="B180"/>
  <c r="C180"/>
  <c r="D180"/>
  <c r="E180"/>
  <c r="F180"/>
  <c r="G180"/>
  <c r="H180"/>
  <c r="I180"/>
  <c r="J180"/>
  <c r="K180"/>
  <c r="B181"/>
  <c r="C181"/>
  <c r="D181"/>
  <c r="E181"/>
  <c r="F181"/>
  <c r="G181"/>
  <c r="H181"/>
  <c r="I181"/>
  <c r="J181"/>
  <c r="K181"/>
  <c r="B182"/>
  <c r="C182"/>
  <c r="D182"/>
  <c r="E182"/>
  <c r="F182"/>
  <c r="G182"/>
  <c r="H182"/>
  <c r="I182"/>
  <c r="J182"/>
  <c r="K182"/>
  <c r="B183"/>
  <c r="C183"/>
  <c r="D183"/>
  <c r="E183"/>
  <c r="F183"/>
  <c r="G183"/>
  <c r="H183"/>
  <c r="I183"/>
  <c r="J183"/>
  <c r="K183"/>
  <c r="B184"/>
  <c r="C184"/>
  <c r="D184"/>
  <c r="E184"/>
  <c r="F184"/>
  <c r="G184"/>
  <c r="H184"/>
  <c r="I184"/>
  <c r="J184"/>
  <c r="K184"/>
  <c r="B185"/>
  <c r="C185"/>
  <c r="D185"/>
  <c r="E185"/>
  <c r="F185"/>
  <c r="G185"/>
  <c r="H185"/>
  <c r="I185"/>
  <c r="J185"/>
  <c r="K185"/>
  <c r="B186"/>
  <c r="C186"/>
  <c r="D186"/>
  <c r="E186"/>
  <c r="F186"/>
  <c r="G186"/>
  <c r="H186"/>
  <c r="I186"/>
  <c r="J186"/>
  <c r="K186"/>
  <c r="B187"/>
  <c r="C187"/>
  <c r="D187"/>
  <c r="E187"/>
  <c r="F187"/>
  <c r="G187"/>
  <c r="H187"/>
  <c r="I187"/>
  <c r="J187"/>
  <c r="K187"/>
  <c r="B188"/>
  <c r="C188"/>
  <c r="D188"/>
  <c r="E188"/>
  <c r="F188"/>
  <c r="G188"/>
  <c r="H188"/>
  <c r="I188"/>
  <c r="J188"/>
  <c r="K188"/>
  <c r="B189"/>
  <c r="C189"/>
  <c r="D189"/>
  <c r="E189"/>
  <c r="F189"/>
  <c r="G189"/>
  <c r="H189"/>
  <c r="I189"/>
  <c r="J189"/>
  <c r="K189"/>
  <c r="B190"/>
  <c r="C190"/>
  <c r="D190"/>
  <c r="E190"/>
  <c r="F190"/>
  <c r="G190"/>
  <c r="H190"/>
  <c r="I190"/>
  <c r="J190"/>
  <c r="K190"/>
  <c r="B191"/>
  <c r="C191"/>
  <c r="D191"/>
  <c r="E191"/>
  <c r="F191"/>
  <c r="G191"/>
  <c r="H191"/>
  <c r="I191"/>
  <c r="J191"/>
  <c r="K191"/>
  <c r="B192"/>
  <c r="C192"/>
  <c r="D192"/>
  <c r="E192"/>
  <c r="F192"/>
  <c r="G192"/>
  <c r="H192"/>
  <c r="I192"/>
  <c r="J192"/>
  <c r="K192"/>
  <c r="B193"/>
  <c r="C193"/>
  <c r="D193"/>
  <c r="E193"/>
  <c r="F193"/>
  <c r="G193"/>
  <c r="H193"/>
  <c r="I193"/>
  <c r="J193"/>
  <c r="K193"/>
  <c r="B194"/>
  <c r="C194"/>
  <c r="D194"/>
  <c r="E194"/>
  <c r="F194"/>
  <c r="G194"/>
  <c r="H194"/>
  <c r="I194"/>
  <c r="J194"/>
  <c r="K194"/>
  <c r="B195"/>
  <c r="C195"/>
  <c r="D195"/>
  <c r="E195"/>
  <c r="F195"/>
  <c r="G195"/>
  <c r="H195"/>
  <c r="I195"/>
  <c r="J195"/>
  <c r="K195"/>
  <c r="B196"/>
  <c r="C196"/>
  <c r="D196"/>
  <c r="E196"/>
  <c r="F196"/>
  <c r="G196"/>
  <c r="H196"/>
  <c r="I196"/>
  <c r="J196"/>
  <c r="K196"/>
  <c r="B197"/>
  <c r="C197"/>
  <c r="D197"/>
  <c r="E197"/>
  <c r="F197"/>
  <c r="G197"/>
  <c r="H197"/>
  <c r="I197"/>
  <c r="J197"/>
  <c r="K197"/>
  <c r="B198"/>
  <c r="C198"/>
  <c r="D198"/>
  <c r="E198"/>
  <c r="F198"/>
  <c r="G198"/>
  <c r="H198"/>
  <c r="I198"/>
  <c r="J198"/>
  <c r="K198"/>
  <c r="B199"/>
  <c r="C199"/>
  <c r="D199"/>
  <c r="E199"/>
  <c r="F199"/>
  <c r="G199"/>
  <c r="H199"/>
  <c r="I199"/>
  <c r="J199"/>
  <c r="K199"/>
  <c r="B200"/>
  <c r="C200"/>
  <c r="D200"/>
  <c r="E200"/>
  <c r="F200"/>
  <c r="G200"/>
  <c r="H200"/>
  <c r="I200"/>
  <c r="J200"/>
  <c r="K200"/>
  <c r="B201"/>
  <c r="C201"/>
  <c r="D201"/>
  <c r="E201"/>
  <c r="F201"/>
  <c r="G201"/>
  <c r="H201"/>
  <c r="I201"/>
  <c r="J201"/>
  <c r="K201"/>
  <c r="B202"/>
  <c r="C202"/>
  <c r="D202"/>
  <c r="E202"/>
  <c r="F202"/>
  <c r="G202"/>
  <c r="H202"/>
  <c r="I202"/>
  <c r="J202"/>
  <c r="K202"/>
  <c r="B203"/>
  <c r="C203"/>
  <c r="D203"/>
  <c r="E203"/>
  <c r="F203"/>
  <c r="G203"/>
  <c r="H203"/>
  <c r="I203"/>
  <c r="J203"/>
  <c r="K203"/>
  <c r="B204"/>
  <c r="C204"/>
  <c r="D204"/>
  <c r="E204"/>
  <c r="F204"/>
  <c r="G204"/>
  <c r="H204"/>
  <c r="I204"/>
  <c r="J204"/>
  <c r="K204"/>
  <c r="B205"/>
  <c r="C205"/>
  <c r="D205"/>
  <c r="E205"/>
  <c r="F205"/>
  <c r="G205"/>
  <c r="H205"/>
  <c r="I205"/>
  <c r="J205"/>
  <c r="K205"/>
  <c r="B206"/>
  <c r="C206"/>
  <c r="D206"/>
  <c r="E206"/>
  <c r="F206"/>
  <c r="G206"/>
  <c r="H206"/>
  <c r="I206"/>
  <c r="J206"/>
  <c r="K206"/>
  <c r="B207"/>
  <c r="C207"/>
  <c r="D207"/>
  <c r="E207"/>
  <c r="F207"/>
  <c r="G207"/>
  <c r="H207"/>
  <c r="I207"/>
  <c r="J207"/>
  <c r="K207"/>
  <c r="B208"/>
  <c r="C208"/>
  <c r="D208"/>
  <c r="E208"/>
  <c r="F208"/>
  <c r="G208"/>
  <c r="H208"/>
  <c r="I208"/>
  <c r="J208"/>
  <c r="K208"/>
  <c r="B209"/>
  <c r="C209"/>
  <c r="D209"/>
  <c r="E209"/>
  <c r="F209"/>
  <c r="G209"/>
  <c r="H209"/>
  <c r="I209"/>
  <c r="J209"/>
  <c r="K209"/>
  <c r="B210"/>
  <c r="C210"/>
  <c r="D210"/>
  <c r="E210"/>
  <c r="F210"/>
  <c r="G210"/>
  <c r="H210"/>
  <c r="I210"/>
  <c r="J210"/>
  <c r="K210"/>
  <c r="B211"/>
  <c r="C211"/>
  <c r="D211"/>
  <c r="E211"/>
  <c r="F211"/>
  <c r="G211"/>
  <c r="H211"/>
  <c r="I211"/>
  <c r="J211"/>
  <c r="K211"/>
  <c r="B212"/>
  <c r="C212"/>
  <c r="D212"/>
  <c r="E212"/>
  <c r="F212"/>
  <c r="G212"/>
  <c r="H212"/>
  <c r="I212"/>
  <c r="J212"/>
  <c r="K212"/>
  <c r="B213"/>
  <c r="C213"/>
  <c r="D213"/>
  <c r="E213"/>
  <c r="F213"/>
  <c r="G213"/>
  <c r="H213"/>
  <c r="I213"/>
  <c r="J213"/>
  <c r="K213"/>
  <c r="B214"/>
  <c r="C214"/>
  <c r="D214"/>
  <c r="E214"/>
  <c r="F214"/>
  <c r="G214"/>
  <c r="H214"/>
  <c r="I214"/>
  <c r="J214"/>
  <c r="K214"/>
  <c r="B215"/>
  <c r="C215"/>
  <c r="D215"/>
  <c r="E215"/>
  <c r="F215"/>
  <c r="G215"/>
  <c r="H215"/>
  <c r="I215"/>
  <c r="J215"/>
  <c r="K215"/>
  <c r="B216"/>
  <c r="C216"/>
  <c r="D216"/>
  <c r="E216"/>
  <c r="F216"/>
  <c r="G216"/>
  <c r="H216"/>
  <c r="I216"/>
  <c r="J216"/>
  <c r="K216"/>
  <c r="B217"/>
  <c r="C217"/>
  <c r="D217"/>
  <c r="E217"/>
  <c r="F217"/>
  <c r="G217"/>
  <c r="H217"/>
  <c r="I217"/>
  <c r="J217"/>
  <c r="K217"/>
  <c r="B218"/>
  <c r="C218"/>
  <c r="D218"/>
  <c r="E218"/>
  <c r="F218"/>
  <c r="G218"/>
  <c r="H218"/>
  <c r="I218"/>
  <c r="J218"/>
  <c r="K218"/>
  <c r="B219"/>
  <c r="C219"/>
  <c r="D219"/>
  <c r="E219"/>
  <c r="F219"/>
  <c r="G219"/>
  <c r="H219"/>
  <c r="I219"/>
  <c r="J219"/>
  <c r="K219"/>
  <c r="B220"/>
  <c r="C220"/>
  <c r="D220"/>
  <c r="E220"/>
  <c r="F220"/>
  <c r="G220"/>
  <c r="H220"/>
  <c r="I220"/>
  <c r="J220"/>
  <c r="K220"/>
  <c r="B221"/>
  <c r="C221"/>
  <c r="D221"/>
  <c r="E221"/>
  <c r="F221"/>
  <c r="G221"/>
  <c r="H221"/>
  <c r="I221"/>
  <c r="J221"/>
  <c r="K221"/>
  <c r="B222"/>
  <c r="C222"/>
  <c r="D222"/>
  <c r="E222"/>
  <c r="F222"/>
  <c r="G222"/>
  <c r="H222"/>
  <c r="I222"/>
  <c r="J222"/>
  <c r="K222"/>
  <c r="B223"/>
  <c r="C223"/>
  <c r="D223"/>
  <c r="E223"/>
  <c r="F223"/>
  <c r="G223"/>
  <c r="H223"/>
  <c r="I223"/>
  <c r="J223"/>
  <c r="K223"/>
  <c r="B224"/>
  <c r="C224"/>
  <c r="D224"/>
  <c r="E224"/>
  <c r="F224"/>
  <c r="G224"/>
  <c r="H224"/>
  <c r="I224"/>
  <c r="J224"/>
  <c r="K224"/>
  <c r="B225"/>
  <c r="C225"/>
  <c r="D225"/>
  <c r="E225"/>
  <c r="F225"/>
  <c r="G225"/>
  <c r="H225"/>
  <c r="I225"/>
  <c r="J225"/>
  <c r="K225"/>
  <c r="B226"/>
  <c r="C226"/>
  <c r="D226"/>
  <c r="E226"/>
  <c r="F226"/>
  <c r="G226"/>
  <c r="H226"/>
  <c r="I226"/>
  <c r="J226"/>
  <c r="K226"/>
  <c r="B227"/>
  <c r="C227"/>
  <c r="D227"/>
  <c r="E227"/>
  <c r="F227"/>
  <c r="G227"/>
  <c r="H227"/>
  <c r="I227"/>
  <c r="J227"/>
  <c r="K227"/>
  <c r="B228"/>
  <c r="C228"/>
  <c r="D228"/>
  <c r="E228"/>
  <c r="F228"/>
  <c r="G228"/>
  <c r="H228"/>
  <c r="I228"/>
  <c r="J228"/>
  <c r="K228"/>
  <c r="B229"/>
  <c r="C229"/>
  <c r="D229"/>
  <c r="E229"/>
  <c r="F229"/>
  <c r="G229"/>
  <c r="H229"/>
  <c r="I229"/>
  <c r="J229"/>
  <c r="K229"/>
  <c r="B230"/>
  <c r="C230"/>
  <c r="D230"/>
  <c r="E230"/>
  <c r="F230"/>
  <c r="G230"/>
  <c r="H230"/>
  <c r="I230"/>
  <c r="J230"/>
  <c r="K230"/>
  <c r="B231"/>
  <c r="C231"/>
  <c r="D231"/>
  <c r="E231"/>
  <c r="F231"/>
  <c r="G231"/>
  <c r="H231"/>
  <c r="I231"/>
  <c r="J231"/>
  <c r="K231"/>
  <c r="B232"/>
  <c r="C232"/>
  <c r="D232"/>
  <c r="E232"/>
  <c r="F232"/>
  <c r="G232"/>
  <c r="H232"/>
  <c r="I232"/>
  <c r="J232"/>
  <c r="K232"/>
  <c r="B233"/>
  <c r="C233"/>
  <c r="D233"/>
  <c r="E233"/>
  <c r="F233"/>
  <c r="G233"/>
  <c r="H233"/>
  <c r="I233"/>
  <c r="J233"/>
  <c r="K233"/>
  <c r="B234"/>
  <c r="C234"/>
  <c r="D234"/>
  <c r="E234"/>
  <c r="F234"/>
  <c r="G234"/>
  <c r="H234"/>
  <c r="I234"/>
  <c r="J234"/>
  <c r="K234"/>
  <c r="B235"/>
  <c r="C235"/>
  <c r="D235"/>
  <c r="E235"/>
  <c r="F235"/>
  <c r="G235"/>
  <c r="H235"/>
  <c r="I235"/>
  <c r="J235"/>
  <c r="K235"/>
  <c r="B236"/>
  <c r="C236"/>
  <c r="D236"/>
  <c r="E236"/>
  <c r="F236"/>
  <c r="G236"/>
  <c r="H236"/>
  <c r="I236"/>
  <c r="J236"/>
  <c r="K236"/>
  <c r="B237"/>
  <c r="C237"/>
  <c r="D237"/>
  <c r="E237"/>
  <c r="F237"/>
  <c r="G237"/>
  <c r="H237"/>
  <c r="I237"/>
  <c r="J237"/>
  <c r="K237"/>
  <c r="B238"/>
  <c r="C238"/>
  <c r="D238"/>
  <c r="E238"/>
  <c r="F238"/>
  <c r="G238"/>
  <c r="H238"/>
  <c r="I238"/>
  <c r="J238"/>
  <c r="K238"/>
  <c r="B239"/>
  <c r="C239"/>
  <c r="D239"/>
  <c r="E239"/>
  <c r="F239"/>
  <c r="G239"/>
  <c r="H239"/>
  <c r="I239"/>
  <c r="J239"/>
  <c r="K239"/>
  <c r="B240"/>
  <c r="C240"/>
  <c r="D240"/>
  <c r="E240"/>
  <c r="F240"/>
  <c r="G240"/>
  <c r="H240"/>
  <c r="I240"/>
  <c r="J240"/>
  <c r="K240"/>
  <c r="B241"/>
  <c r="C241"/>
  <c r="D241"/>
  <c r="E241"/>
  <c r="F241"/>
  <c r="G241"/>
  <c r="H241"/>
  <c r="I241"/>
  <c r="J241"/>
  <c r="K241"/>
  <c r="B242"/>
  <c r="C242"/>
  <c r="D242"/>
  <c r="E242"/>
  <c r="F242"/>
  <c r="G242"/>
  <c r="H242"/>
  <c r="I242"/>
  <c r="J242"/>
  <c r="K242"/>
  <c r="B243"/>
  <c r="C243"/>
  <c r="D243"/>
  <c r="E243"/>
  <c r="F243"/>
  <c r="G243"/>
  <c r="H243"/>
  <c r="I243"/>
  <c r="J243"/>
  <c r="K243"/>
  <c r="B244"/>
  <c r="C244"/>
  <c r="D244"/>
  <c r="E244"/>
  <c r="F244"/>
  <c r="G244"/>
  <c r="H244"/>
  <c r="I244"/>
  <c r="J244"/>
  <c r="K244"/>
  <c r="B245"/>
  <c r="C245"/>
  <c r="D245"/>
  <c r="E245"/>
  <c r="F245"/>
  <c r="G245"/>
  <c r="H245"/>
  <c r="I245"/>
  <c r="J245"/>
  <c r="K245"/>
  <c r="B246"/>
  <c r="C246"/>
  <c r="D246"/>
  <c r="E246"/>
  <c r="F246"/>
  <c r="G246"/>
  <c r="H246"/>
  <c r="I246"/>
  <c r="J246"/>
  <c r="K246"/>
  <c r="B247"/>
  <c r="C247"/>
  <c r="D247"/>
  <c r="E247"/>
  <c r="F247"/>
  <c r="G247"/>
  <c r="H247"/>
  <c r="I247"/>
  <c r="J247"/>
  <c r="K247"/>
  <c r="B248"/>
  <c r="C248"/>
  <c r="D248"/>
  <c r="E248"/>
  <c r="F248"/>
  <c r="G248"/>
  <c r="H248"/>
  <c r="I248"/>
  <c r="J248"/>
  <c r="K248"/>
  <c r="B249"/>
  <c r="C249"/>
  <c r="D249"/>
  <c r="E249"/>
  <c r="F249"/>
  <c r="G249"/>
  <c r="H249"/>
  <c r="I249"/>
  <c r="J249"/>
  <c r="K249"/>
  <c r="B250"/>
  <c r="C250"/>
  <c r="D250"/>
  <c r="E250"/>
  <c r="F250"/>
  <c r="G250"/>
  <c r="H250"/>
  <c r="I250"/>
  <c r="J250"/>
  <c r="K250"/>
  <c r="B251"/>
  <c r="C251"/>
  <c r="D251"/>
  <c r="E251"/>
  <c r="F251"/>
  <c r="G251"/>
  <c r="H251"/>
  <c r="I251"/>
  <c r="J251"/>
  <c r="K251"/>
  <c r="B252"/>
  <c r="C252"/>
  <c r="D252"/>
  <c r="E252"/>
  <c r="F252"/>
  <c r="G252"/>
  <c r="H252"/>
  <c r="I252"/>
  <c r="J252"/>
  <c r="K252"/>
  <c r="B253"/>
  <c r="C253"/>
  <c r="D253"/>
  <c r="E253"/>
  <c r="F253"/>
  <c r="G253"/>
  <c r="H253"/>
  <c r="I253"/>
  <c r="J253"/>
  <c r="K253"/>
  <c r="B254"/>
  <c r="C254"/>
  <c r="D254"/>
  <c r="E254"/>
  <c r="F254"/>
  <c r="G254"/>
  <c r="H254"/>
  <c r="I254"/>
  <c r="J254"/>
  <c r="K254"/>
  <c r="B255"/>
  <c r="C255"/>
  <c r="D255"/>
  <c r="E255"/>
  <c r="F255"/>
  <c r="G255"/>
  <c r="H255"/>
  <c r="I255"/>
  <c r="J255"/>
  <c r="K255"/>
  <c r="B256"/>
  <c r="C256"/>
  <c r="D256"/>
  <c r="E256"/>
  <c r="F256"/>
  <c r="G256"/>
  <c r="H256"/>
  <c r="I256"/>
  <c r="J256"/>
  <c r="K256"/>
  <c r="B257"/>
  <c r="C257"/>
  <c r="D257"/>
  <c r="E257"/>
  <c r="F257"/>
  <c r="G257"/>
  <c r="H257"/>
  <c r="I257"/>
  <c r="J257"/>
  <c r="K257"/>
  <c r="B258"/>
  <c r="C258"/>
  <c r="D258"/>
  <c r="E258"/>
  <c r="F258"/>
  <c r="G258"/>
  <c r="H258"/>
  <c r="I258"/>
  <c r="J258"/>
  <c r="K258"/>
  <c r="B259"/>
  <c r="C259"/>
  <c r="D259"/>
  <c r="E259"/>
  <c r="F259"/>
  <c r="G259"/>
  <c r="H259"/>
  <c r="I259"/>
  <c r="J259"/>
  <c r="K259"/>
  <c r="B260"/>
  <c r="C260"/>
  <c r="D260"/>
  <c r="E260"/>
  <c r="F260"/>
  <c r="G260"/>
  <c r="H260"/>
  <c r="I260"/>
  <c r="J260"/>
  <c r="K260"/>
  <c r="B261"/>
  <c r="C261"/>
  <c r="D261"/>
  <c r="E261"/>
  <c r="F261"/>
  <c r="G261"/>
  <c r="H261"/>
  <c r="I261"/>
  <c r="J261"/>
  <c r="K261"/>
  <c r="B262"/>
  <c r="C262"/>
  <c r="D262"/>
  <c r="E262"/>
  <c r="F262"/>
  <c r="G262"/>
  <c r="H262"/>
  <c r="I262"/>
  <c r="J262"/>
  <c r="K262"/>
  <c r="B263"/>
  <c r="C263"/>
  <c r="D263"/>
  <c r="E263"/>
  <c r="F263"/>
  <c r="G263"/>
  <c r="H263"/>
  <c r="I263"/>
  <c r="J263"/>
  <c r="K263"/>
  <c r="B264"/>
  <c r="C264"/>
  <c r="D264"/>
  <c r="E264"/>
  <c r="F264"/>
  <c r="G264"/>
  <c r="H264"/>
  <c r="I264"/>
  <c r="J264"/>
  <c r="K264"/>
  <c r="B265"/>
  <c r="C265"/>
  <c r="D265"/>
  <c r="E265"/>
  <c r="F265"/>
  <c r="G265"/>
  <c r="H265"/>
  <c r="I265"/>
  <c r="J265"/>
  <c r="K265"/>
  <c r="B266"/>
  <c r="C266"/>
  <c r="D266"/>
  <c r="E266"/>
  <c r="F266"/>
  <c r="G266"/>
  <c r="H266"/>
  <c r="I266"/>
  <c r="J266"/>
  <c r="K266"/>
  <c r="B267"/>
  <c r="C267"/>
  <c r="D267"/>
  <c r="E267"/>
  <c r="F267"/>
  <c r="G267"/>
  <c r="H267"/>
  <c r="I267"/>
  <c r="J267"/>
  <c r="K267"/>
  <c r="B268"/>
  <c r="C268"/>
  <c r="D268"/>
  <c r="E268"/>
  <c r="F268"/>
  <c r="G268"/>
  <c r="H268"/>
  <c r="I268"/>
  <c r="J268"/>
  <c r="K268"/>
  <c r="B269"/>
  <c r="C269"/>
  <c r="D269"/>
  <c r="E269"/>
  <c r="F269"/>
  <c r="G269"/>
  <c r="H269"/>
  <c r="I269"/>
  <c r="J269"/>
  <c r="K269"/>
  <c r="B270"/>
  <c r="C270"/>
  <c r="D270"/>
  <c r="E270"/>
  <c r="F270"/>
  <c r="G270"/>
  <c r="H270"/>
  <c r="I270"/>
  <c r="J270"/>
  <c r="K270"/>
  <c r="B271"/>
  <c r="C271"/>
  <c r="D271"/>
  <c r="E271"/>
  <c r="F271"/>
  <c r="G271"/>
  <c r="H271"/>
  <c r="I271"/>
  <c r="J271"/>
  <c r="K271"/>
  <c r="B272"/>
  <c r="C272"/>
  <c r="D272"/>
  <c r="E272"/>
  <c r="F272"/>
  <c r="G272"/>
  <c r="H272"/>
  <c r="I272"/>
  <c r="J272"/>
  <c r="K272"/>
  <c r="B273"/>
  <c r="C273"/>
  <c r="D273"/>
  <c r="E273"/>
  <c r="F273"/>
  <c r="G273"/>
  <c r="H273"/>
  <c r="I273"/>
  <c r="J273"/>
  <c r="K273"/>
  <c r="B274"/>
  <c r="C274"/>
  <c r="D274"/>
  <c r="E274"/>
  <c r="F274"/>
  <c r="G274"/>
  <c r="H274"/>
  <c r="I274"/>
  <c r="J274"/>
  <c r="K274"/>
  <c r="B275"/>
  <c r="C275"/>
  <c r="D275"/>
  <c r="E275"/>
  <c r="F275"/>
  <c r="G275"/>
  <c r="H275"/>
  <c r="I275"/>
  <c r="J275"/>
  <c r="K275"/>
  <c r="B276"/>
  <c r="C276"/>
  <c r="D276"/>
  <c r="E276"/>
  <c r="F276"/>
  <c r="G276"/>
  <c r="H276"/>
  <c r="I276"/>
  <c r="J276"/>
  <c r="K276"/>
  <c r="B277"/>
  <c r="C277"/>
  <c r="D277"/>
  <c r="E277"/>
  <c r="F277"/>
  <c r="G277"/>
  <c r="H277"/>
  <c r="I277"/>
  <c r="J277"/>
  <c r="K277"/>
  <c r="B278"/>
  <c r="C278"/>
  <c r="D278"/>
  <c r="E278"/>
  <c r="F278"/>
  <c r="G278"/>
  <c r="H278"/>
  <c r="I278"/>
  <c r="J278"/>
  <c r="K278"/>
  <c r="B279"/>
  <c r="C279"/>
  <c r="D279"/>
  <c r="E279"/>
  <c r="F279"/>
  <c r="G279"/>
  <c r="H279"/>
  <c r="I279"/>
  <c r="J279"/>
  <c r="K279"/>
  <c r="B280"/>
  <c r="C280"/>
  <c r="D280"/>
  <c r="E280"/>
  <c r="F280"/>
  <c r="G280"/>
  <c r="H280"/>
  <c r="I280"/>
  <c r="J280"/>
  <c r="K280"/>
  <c r="B281"/>
  <c r="C281"/>
  <c r="D281"/>
  <c r="E281"/>
  <c r="F281"/>
  <c r="G281"/>
  <c r="H281"/>
  <c r="I281"/>
  <c r="J281"/>
  <c r="K281"/>
  <c r="B282"/>
  <c r="C282"/>
  <c r="D282"/>
  <c r="E282"/>
  <c r="F282"/>
  <c r="G282"/>
  <c r="H282"/>
  <c r="I282"/>
  <c r="J282"/>
  <c r="K282"/>
  <c r="B283"/>
  <c r="C283"/>
  <c r="D283"/>
  <c r="E283"/>
  <c r="F283"/>
  <c r="G283"/>
  <c r="H283"/>
  <c r="I283"/>
  <c r="J283"/>
  <c r="K283"/>
  <c r="B284"/>
  <c r="C284"/>
  <c r="D284"/>
  <c r="E284"/>
  <c r="F284"/>
  <c r="G284"/>
  <c r="H284"/>
  <c r="I284"/>
  <c r="J284"/>
  <c r="K284"/>
  <c r="B285"/>
  <c r="C285"/>
  <c r="D285"/>
  <c r="E285"/>
  <c r="F285"/>
  <c r="G285"/>
  <c r="H285"/>
  <c r="I285"/>
  <c r="J285"/>
  <c r="K285"/>
  <c r="B286"/>
  <c r="C286"/>
  <c r="D286"/>
  <c r="E286"/>
  <c r="F286"/>
  <c r="G286"/>
  <c r="H286"/>
  <c r="I286"/>
  <c r="J286"/>
  <c r="K286"/>
  <c r="B287"/>
  <c r="C287"/>
  <c r="D287"/>
  <c r="E287"/>
  <c r="F287"/>
  <c r="G287"/>
  <c r="H287"/>
  <c r="I287"/>
  <c r="J287"/>
  <c r="K287"/>
  <c r="B288"/>
  <c r="C288"/>
  <c r="D288"/>
  <c r="E288"/>
  <c r="F288"/>
  <c r="G288"/>
  <c r="H288"/>
  <c r="I288"/>
  <c r="J288"/>
  <c r="K288"/>
  <c r="B289"/>
  <c r="C289"/>
  <c r="D289"/>
  <c r="E289"/>
  <c r="F289"/>
  <c r="G289"/>
  <c r="H289"/>
  <c r="I289"/>
  <c r="J289"/>
  <c r="K289"/>
  <c r="B290"/>
  <c r="C290"/>
  <c r="D290"/>
  <c r="E290"/>
  <c r="F290"/>
  <c r="G290"/>
  <c r="H290"/>
  <c r="I290"/>
  <c r="J290"/>
  <c r="K290"/>
  <c r="B291"/>
  <c r="C291"/>
  <c r="D291"/>
  <c r="E291"/>
  <c r="F291"/>
  <c r="G291"/>
  <c r="H291"/>
  <c r="I291"/>
  <c r="J291"/>
  <c r="K291"/>
  <c r="B292"/>
  <c r="C292"/>
  <c r="D292"/>
  <c r="E292"/>
  <c r="F292"/>
  <c r="G292"/>
  <c r="H292"/>
  <c r="I292"/>
  <c r="J292"/>
  <c r="K292"/>
  <c r="B293"/>
  <c r="C293"/>
  <c r="D293"/>
  <c r="E293"/>
  <c r="F293"/>
  <c r="G293"/>
  <c r="H293"/>
  <c r="I293"/>
  <c r="J293"/>
  <c r="K293"/>
  <c r="B294"/>
  <c r="C294"/>
  <c r="D294"/>
  <c r="E294"/>
  <c r="F294"/>
  <c r="G294"/>
  <c r="H294"/>
  <c r="I294"/>
  <c r="J294"/>
  <c r="K294"/>
  <c r="B295"/>
  <c r="C295"/>
  <c r="D295"/>
  <c r="E295"/>
  <c r="F295"/>
  <c r="G295"/>
  <c r="H295"/>
  <c r="I295"/>
  <c r="J295"/>
  <c r="K295"/>
  <c r="B296"/>
  <c r="C296"/>
  <c r="D296"/>
  <c r="E296"/>
  <c r="F296"/>
  <c r="G296"/>
  <c r="H296"/>
  <c r="I296"/>
  <c r="J296"/>
  <c r="K296"/>
  <c r="B297"/>
  <c r="C297"/>
  <c r="D297"/>
  <c r="E297"/>
  <c r="F297"/>
  <c r="G297"/>
  <c r="H297"/>
  <c r="I297"/>
  <c r="J297"/>
  <c r="K297"/>
  <c r="B298"/>
  <c r="C298"/>
  <c r="D298"/>
  <c r="E298"/>
  <c r="F298"/>
  <c r="G298"/>
  <c r="H298"/>
  <c r="I298"/>
  <c r="J298"/>
  <c r="K298"/>
  <c r="B299"/>
  <c r="C299"/>
  <c r="D299"/>
  <c r="E299"/>
  <c r="F299"/>
  <c r="G299"/>
  <c r="H299"/>
  <c r="I299"/>
  <c r="J299"/>
  <c r="K299"/>
  <c r="B300"/>
  <c r="C300"/>
  <c r="D300"/>
  <c r="E300"/>
  <c r="F300"/>
  <c r="G300"/>
  <c r="H300"/>
  <c r="I300"/>
  <c r="J300"/>
  <c r="K300"/>
  <c r="B301"/>
  <c r="C301"/>
  <c r="D301"/>
  <c r="E301"/>
  <c r="F301"/>
  <c r="G301"/>
  <c r="H301"/>
  <c r="I301"/>
  <c r="J301"/>
  <c r="K301"/>
  <c r="B302"/>
  <c r="C302"/>
  <c r="D302"/>
  <c r="E302"/>
  <c r="F302"/>
  <c r="G302"/>
  <c r="H302"/>
  <c r="I302"/>
  <c r="J302"/>
  <c r="K302"/>
  <c r="B303"/>
  <c r="C303"/>
  <c r="D303"/>
  <c r="E303"/>
  <c r="F303"/>
  <c r="G303"/>
  <c r="H303"/>
  <c r="I303"/>
  <c r="J303"/>
  <c r="K303"/>
  <c r="B304"/>
  <c r="C304"/>
  <c r="D304"/>
  <c r="E304"/>
  <c r="F304"/>
  <c r="G304"/>
  <c r="H304"/>
  <c r="I304"/>
  <c r="J304"/>
  <c r="K304"/>
  <c r="B305"/>
  <c r="C305"/>
  <c r="D305"/>
  <c r="E305"/>
  <c r="F305"/>
  <c r="G305"/>
  <c r="H305"/>
  <c r="I305"/>
  <c r="J305"/>
  <c r="K305"/>
  <c r="B306"/>
  <c r="C306"/>
  <c r="D306"/>
  <c r="E306"/>
  <c r="F306"/>
  <c r="G306"/>
  <c r="H306"/>
  <c r="I306"/>
  <c r="J306"/>
  <c r="K306"/>
  <c r="B307"/>
  <c r="C307"/>
  <c r="D307"/>
  <c r="E307"/>
  <c r="F307"/>
  <c r="G307"/>
  <c r="H307"/>
  <c r="I307"/>
  <c r="J307"/>
  <c r="K307"/>
  <c r="B308"/>
  <c r="C308"/>
  <c r="D308"/>
  <c r="E308"/>
  <c r="F308"/>
  <c r="G308"/>
  <c r="H308"/>
  <c r="I308"/>
  <c r="J308"/>
  <c r="K308"/>
  <c r="B309"/>
  <c r="C309"/>
  <c r="D309"/>
  <c r="E309"/>
  <c r="F309"/>
  <c r="G309"/>
  <c r="H309"/>
  <c r="I309"/>
  <c r="J309"/>
  <c r="K309"/>
  <c r="B310"/>
  <c r="C310"/>
  <c r="D310"/>
  <c r="E310"/>
  <c r="F310"/>
  <c r="G310"/>
  <c r="H310"/>
  <c r="I310"/>
  <c r="J310"/>
  <c r="K310"/>
  <c r="B311"/>
  <c r="C311"/>
  <c r="D311"/>
  <c r="E311"/>
  <c r="F311"/>
  <c r="G311"/>
  <c r="H311"/>
  <c r="I311"/>
  <c r="J311"/>
  <c r="K311"/>
  <c r="B312"/>
  <c r="C312"/>
  <c r="D312"/>
  <c r="E312"/>
  <c r="F312"/>
  <c r="G312"/>
  <c r="H312"/>
  <c r="I312"/>
  <c r="J312"/>
  <c r="K312"/>
  <c r="B313"/>
  <c r="C313"/>
  <c r="D313"/>
  <c r="E313"/>
  <c r="F313"/>
  <c r="G313"/>
  <c r="H313"/>
  <c r="I313"/>
  <c r="J313"/>
  <c r="K313"/>
  <c r="B314"/>
  <c r="C314"/>
  <c r="D314"/>
  <c r="E314"/>
  <c r="F314"/>
  <c r="G314"/>
  <c r="H314"/>
  <c r="I314"/>
  <c r="J314"/>
  <c r="K314"/>
  <c r="B315"/>
  <c r="C315"/>
  <c r="D315"/>
  <c r="E315"/>
  <c r="F315"/>
  <c r="G315"/>
  <c r="H315"/>
  <c r="I315"/>
  <c r="J315"/>
  <c r="K315"/>
  <c r="B316"/>
  <c r="C316"/>
  <c r="D316"/>
  <c r="E316"/>
  <c r="F316"/>
  <c r="G316"/>
  <c r="H316"/>
  <c r="I316"/>
  <c r="J316"/>
  <c r="K316"/>
  <c r="B317"/>
  <c r="C317"/>
  <c r="D317"/>
  <c r="E317"/>
  <c r="F317"/>
  <c r="G317"/>
  <c r="H317"/>
  <c r="I317"/>
  <c r="J317"/>
  <c r="K317"/>
  <c r="B318"/>
  <c r="C318"/>
  <c r="D318"/>
  <c r="E318"/>
  <c r="F318"/>
  <c r="G318"/>
  <c r="H318"/>
  <c r="I318"/>
  <c r="J318"/>
  <c r="K318"/>
  <c r="B319"/>
  <c r="C319"/>
  <c r="D319"/>
  <c r="E319"/>
  <c r="F319"/>
  <c r="G319"/>
  <c r="H319"/>
  <c r="I319"/>
  <c r="J319"/>
  <c r="K319"/>
  <c r="B320"/>
  <c r="C320"/>
  <c r="D320"/>
  <c r="E320"/>
  <c r="F320"/>
  <c r="G320"/>
  <c r="H320"/>
  <c r="I320"/>
  <c r="J320"/>
  <c r="K320"/>
  <c r="B321"/>
  <c r="C321"/>
  <c r="D321"/>
  <c r="E321"/>
  <c r="F321"/>
  <c r="G321"/>
  <c r="H321"/>
  <c r="I321"/>
  <c r="J321"/>
  <c r="K321"/>
  <c r="B322"/>
  <c r="C322"/>
  <c r="D322"/>
  <c r="E322"/>
  <c r="F322"/>
  <c r="G322"/>
  <c r="H322"/>
  <c r="I322"/>
  <c r="J322"/>
  <c r="K322"/>
  <c r="B323"/>
  <c r="C323"/>
  <c r="D323"/>
  <c r="E323"/>
  <c r="F323"/>
  <c r="G323"/>
  <c r="H323"/>
  <c r="I323"/>
  <c r="J323"/>
  <c r="K323"/>
  <c r="B324"/>
  <c r="C324"/>
  <c r="D324"/>
  <c r="E324"/>
  <c r="F324"/>
  <c r="G324"/>
  <c r="H324"/>
  <c r="I324"/>
  <c r="J324"/>
  <c r="K324"/>
  <c r="B325"/>
  <c r="C325"/>
  <c r="D325"/>
  <c r="E325"/>
  <c r="F325"/>
  <c r="G325"/>
  <c r="H325"/>
  <c r="I325"/>
  <c r="J325"/>
  <c r="K325"/>
  <c r="B326"/>
  <c r="C326"/>
  <c r="D326"/>
  <c r="E326"/>
  <c r="F326"/>
  <c r="G326"/>
  <c r="H326"/>
  <c r="I326"/>
  <c r="J326"/>
  <c r="K326"/>
  <c r="B327"/>
  <c r="C327"/>
  <c r="D327"/>
  <c r="E327"/>
  <c r="F327"/>
  <c r="G327"/>
  <c r="H327"/>
  <c r="I327"/>
  <c r="J327"/>
  <c r="K327"/>
  <c r="B328"/>
  <c r="C328"/>
  <c r="D328"/>
  <c r="E328"/>
  <c r="F328"/>
  <c r="G328"/>
  <c r="H328"/>
  <c r="I328"/>
  <c r="J328"/>
  <c r="K328"/>
  <c r="B329"/>
  <c r="C329"/>
  <c r="D329"/>
  <c r="E329"/>
  <c r="F329"/>
  <c r="G329"/>
  <c r="H329"/>
  <c r="I329"/>
  <c r="J329"/>
  <c r="K329"/>
  <c r="B330"/>
  <c r="C330"/>
  <c r="D330"/>
  <c r="E330"/>
  <c r="F330"/>
  <c r="G330"/>
  <c r="H330"/>
  <c r="I330"/>
  <c r="J330"/>
  <c r="K330"/>
  <c r="B331"/>
  <c r="C331"/>
  <c r="D331"/>
  <c r="E331"/>
  <c r="F331"/>
  <c r="G331"/>
  <c r="H331"/>
  <c r="I331"/>
  <c r="J331"/>
  <c r="K331"/>
  <c r="B332"/>
  <c r="C332"/>
  <c r="D332"/>
  <c r="E332"/>
  <c r="F332"/>
  <c r="G332"/>
  <c r="H332"/>
  <c r="I332"/>
  <c r="J332"/>
  <c r="K332"/>
  <c r="B333"/>
  <c r="C333"/>
  <c r="D333"/>
  <c r="E333"/>
  <c r="F333"/>
  <c r="G333"/>
  <c r="H333"/>
  <c r="I333"/>
  <c r="J333"/>
  <c r="K333"/>
  <c r="B334"/>
  <c r="C334"/>
  <c r="D334"/>
  <c r="E334"/>
  <c r="F334"/>
  <c r="G334"/>
  <c r="H334"/>
  <c r="I334"/>
  <c r="J334"/>
  <c r="K334"/>
  <c r="B335"/>
  <c r="C335"/>
  <c r="D335"/>
  <c r="E335"/>
  <c r="F335"/>
  <c r="G335"/>
  <c r="H335"/>
  <c r="I335"/>
  <c r="J335"/>
  <c r="K335"/>
  <c r="B336"/>
  <c r="C336"/>
  <c r="D336"/>
  <c r="E336"/>
  <c r="F336"/>
  <c r="G336"/>
  <c r="H336"/>
  <c r="I336"/>
  <c r="J336"/>
  <c r="K336"/>
  <c r="B337"/>
  <c r="C337"/>
  <c r="D337"/>
  <c r="E337"/>
  <c r="F337"/>
  <c r="G337"/>
  <c r="H337"/>
  <c r="I337"/>
  <c r="J337"/>
  <c r="K337"/>
  <c r="B338"/>
  <c r="C338"/>
  <c r="D338"/>
  <c r="E338"/>
  <c r="F338"/>
  <c r="G338"/>
  <c r="H338"/>
  <c r="I338"/>
  <c r="J338"/>
  <c r="K338"/>
  <c r="B339"/>
  <c r="C339"/>
  <c r="D339"/>
  <c r="E339"/>
  <c r="F339"/>
  <c r="G339"/>
  <c r="H339"/>
  <c r="I339"/>
  <c r="J339"/>
  <c r="K339"/>
  <c r="B340"/>
  <c r="C340"/>
  <c r="D340"/>
  <c r="E340"/>
  <c r="F340"/>
  <c r="G340"/>
  <c r="H340"/>
  <c r="I340"/>
  <c r="J340"/>
  <c r="K340"/>
  <c r="B341"/>
  <c r="C341"/>
  <c r="D341"/>
  <c r="E341"/>
  <c r="F341"/>
  <c r="G341"/>
  <c r="H341"/>
  <c r="I341"/>
  <c r="J341"/>
  <c r="K341"/>
  <c r="B342"/>
  <c r="C342"/>
  <c r="D342"/>
  <c r="E342"/>
  <c r="F342"/>
  <c r="G342"/>
  <c r="H342"/>
  <c r="I342"/>
  <c r="J342"/>
  <c r="K342"/>
  <c r="B343"/>
  <c r="C343"/>
  <c r="D343"/>
  <c r="E343"/>
  <c r="F343"/>
  <c r="G343"/>
  <c r="H343"/>
  <c r="I343"/>
  <c r="J343"/>
  <c r="K343"/>
  <c r="B344"/>
  <c r="C344"/>
  <c r="D344"/>
  <c r="E344"/>
  <c r="F344"/>
  <c r="G344"/>
  <c r="H344"/>
  <c r="I344"/>
  <c r="J344"/>
  <c r="K344"/>
  <c r="B345"/>
  <c r="C345"/>
  <c r="D345"/>
  <c r="E345"/>
  <c r="F345"/>
  <c r="G345"/>
  <c r="H345"/>
  <c r="I345"/>
  <c r="J345"/>
  <c r="K345"/>
  <c r="B346"/>
  <c r="C346"/>
  <c r="D346"/>
  <c r="E346"/>
  <c r="F346"/>
  <c r="G346"/>
  <c r="H346"/>
  <c r="I346"/>
  <c r="J346"/>
  <c r="K346"/>
  <c r="B347"/>
  <c r="C347"/>
  <c r="D347"/>
  <c r="E347"/>
  <c r="F347"/>
  <c r="G347"/>
  <c r="H347"/>
  <c r="I347"/>
  <c r="J347"/>
  <c r="K347"/>
  <c r="B348"/>
  <c r="C348"/>
  <c r="D348"/>
  <c r="E348"/>
  <c r="F348"/>
  <c r="G348"/>
  <c r="H348"/>
  <c r="I348"/>
  <c r="J348"/>
  <c r="K348"/>
  <c r="B349"/>
  <c r="C349"/>
  <c r="D349"/>
  <c r="E349"/>
  <c r="F349"/>
  <c r="G349"/>
  <c r="H349"/>
  <c r="I349"/>
  <c r="J349"/>
  <c r="K349"/>
  <c r="B350"/>
  <c r="C350"/>
  <c r="D350"/>
  <c r="E350"/>
  <c r="F350"/>
  <c r="G350"/>
  <c r="H350"/>
  <c r="I350"/>
  <c r="J350"/>
  <c r="K350"/>
  <c r="B351"/>
  <c r="C351"/>
  <c r="D351"/>
  <c r="E351"/>
  <c r="F351"/>
  <c r="G351"/>
  <c r="H351"/>
  <c r="I351"/>
  <c r="J351"/>
  <c r="K351"/>
  <c r="B352"/>
  <c r="C352"/>
  <c r="D352"/>
  <c r="E352"/>
  <c r="F352"/>
  <c r="G352"/>
  <c r="H352"/>
  <c r="I352"/>
  <c r="J352"/>
  <c r="K352"/>
  <c r="B353"/>
  <c r="C353"/>
  <c r="D353"/>
  <c r="E353"/>
  <c r="F353"/>
  <c r="G353"/>
  <c r="H353"/>
  <c r="I353"/>
  <c r="J353"/>
  <c r="K353"/>
  <c r="B354"/>
  <c r="C354"/>
  <c r="D354"/>
  <c r="E354"/>
  <c r="F354"/>
  <c r="G354"/>
  <c r="H354"/>
  <c r="I354"/>
  <c r="J354"/>
  <c r="K354"/>
  <c r="B355"/>
  <c r="C355"/>
  <c r="D355"/>
  <c r="E355"/>
  <c r="F355"/>
  <c r="G355"/>
  <c r="H355"/>
  <c r="I355"/>
  <c r="J355"/>
  <c r="K355"/>
  <c r="B356"/>
  <c r="C356"/>
  <c r="D356"/>
  <c r="E356"/>
  <c r="F356"/>
  <c r="G356"/>
  <c r="H356"/>
  <c r="I356"/>
  <c r="J356"/>
  <c r="K356"/>
  <c r="B357"/>
  <c r="C357"/>
  <c r="D357"/>
  <c r="E357"/>
  <c r="F357"/>
  <c r="G357"/>
  <c r="H357"/>
  <c r="I357"/>
  <c r="J357"/>
  <c r="K357"/>
  <c r="B358"/>
  <c r="C358"/>
  <c r="D358"/>
  <c r="E358"/>
  <c r="F358"/>
  <c r="G358"/>
  <c r="H358"/>
  <c r="I358"/>
  <c r="J358"/>
  <c r="K358"/>
  <c r="B359"/>
  <c r="C359"/>
  <c r="D359"/>
  <c r="E359"/>
  <c r="F359"/>
  <c r="G359"/>
  <c r="H359"/>
  <c r="I359"/>
  <c r="J359"/>
  <c r="K359"/>
  <c r="B360"/>
  <c r="C360"/>
  <c r="D360"/>
  <c r="E360"/>
  <c r="F360"/>
  <c r="G360"/>
  <c r="H360"/>
  <c r="I360"/>
  <c r="J360"/>
  <c r="K360"/>
  <c r="B361"/>
  <c r="C361"/>
  <c r="D361"/>
  <c r="E361"/>
  <c r="F361"/>
  <c r="G361"/>
  <c r="H361"/>
  <c r="I361"/>
  <c r="J361"/>
  <c r="K361"/>
  <c r="B362"/>
  <c r="C362"/>
  <c r="D362"/>
  <c r="E362"/>
  <c r="F362"/>
  <c r="G362"/>
  <c r="H362"/>
  <c r="I362"/>
  <c r="J362"/>
  <c r="K362"/>
  <c r="B363"/>
  <c r="C363"/>
  <c r="D363"/>
  <c r="E363"/>
  <c r="F363"/>
  <c r="G363"/>
  <c r="H363"/>
  <c r="I363"/>
  <c r="J363"/>
  <c r="K363"/>
  <c r="B364"/>
  <c r="C364"/>
  <c r="D364"/>
  <c r="E364"/>
  <c r="F364"/>
  <c r="G364"/>
  <c r="H364"/>
  <c r="I364"/>
  <c r="J364"/>
  <c r="K364"/>
  <c r="B365"/>
  <c r="C365"/>
  <c r="D365"/>
  <c r="E365"/>
  <c r="F365"/>
  <c r="G365"/>
  <c r="H365"/>
  <c r="I365"/>
  <c r="J365"/>
  <c r="K365"/>
  <c r="B366"/>
  <c r="C366"/>
  <c r="D366"/>
  <c r="E366"/>
  <c r="F366"/>
  <c r="G366"/>
  <c r="H366"/>
  <c r="I366"/>
  <c r="J366"/>
  <c r="K366"/>
  <c r="B367"/>
  <c r="C367"/>
  <c r="D367"/>
  <c r="E367"/>
  <c r="F367"/>
  <c r="G367"/>
  <c r="H367"/>
  <c r="I367"/>
  <c r="J367"/>
  <c r="K367"/>
  <c r="B368"/>
  <c r="C368"/>
  <c r="D368"/>
  <c r="E368"/>
  <c r="F368"/>
  <c r="G368"/>
  <c r="H368"/>
  <c r="I368"/>
  <c r="J368"/>
  <c r="K368"/>
  <c r="B369"/>
  <c r="C369"/>
  <c r="D369"/>
  <c r="E369"/>
  <c r="F369"/>
  <c r="G369"/>
  <c r="H369"/>
  <c r="I369"/>
  <c r="J369"/>
  <c r="K369"/>
  <c r="B370"/>
  <c r="C370"/>
  <c r="D370"/>
  <c r="E370"/>
  <c r="F370"/>
  <c r="G370"/>
  <c r="H370"/>
  <c r="I370"/>
  <c r="J370"/>
  <c r="K370"/>
  <c r="B371"/>
  <c r="C371"/>
  <c r="D371"/>
  <c r="E371"/>
  <c r="F371"/>
  <c r="G371"/>
  <c r="H371"/>
  <c r="I371"/>
  <c r="J371"/>
  <c r="K371"/>
  <c r="B372"/>
  <c r="C372"/>
  <c r="D372"/>
  <c r="E372"/>
  <c r="F372"/>
  <c r="G372"/>
  <c r="H372"/>
  <c r="I372"/>
  <c r="J372"/>
  <c r="K372"/>
  <c r="B373"/>
  <c r="C373"/>
  <c r="D373"/>
  <c r="E373"/>
  <c r="F373"/>
  <c r="G373"/>
  <c r="H373"/>
  <c r="I373"/>
  <c r="J373"/>
  <c r="K373"/>
  <c r="B374"/>
  <c r="C374"/>
  <c r="D374"/>
  <c r="E374"/>
  <c r="F374"/>
  <c r="G374"/>
  <c r="H374"/>
  <c r="I374"/>
  <c r="J374"/>
  <c r="K374"/>
  <c r="B375"/>
  <c r="C375"/>
  <c r="D375"/>
  <c r="E375"/>
  <c r="F375"/>
  <c r="G375"/>
  <c r="H375"/>
  <c r="I375"/>
  <c r="J375"/>
  <c r="K375"/>
  <c r="B376"/>
  <c r="C376"/>
  <c r="D376"/>
  <c r="E376"/>
  <c r="F376"/>
  <c r="G376"/>
  <c r="H376"/>
  <c r="I376"/>
  <c r="J376"/>
  <c r="K376"/>
  <c r="B377"/>
  <c r="C377"/>
  <c r="D377"/>
  <c r="E377"/>
  <c r="F377"/>
  <c r="G377"/>
  <c r="H377"/>
  <c r="I377"/>
  <c r="J377"/>
  <c r="K377"/>
  <c r="B378"/>
  <c r="C378"/>
  <c r="D378"/>
  <c r="E378"/>
  <c r="F378"/>
  <c r="G378"/>
  <c r="H378"/>
  <c r="I378"/>
  <c r="J378"/>
  <c r="K378"/>
  <c r="B379"/>
  <c r="C379"/>
  <c r="D379"/>
  <c r="E379"/>
  <c r="F379"/>
  <c r="G379"/>
  <c r="H379"/>
  <c r="I379"/>
  <c r="J379"/>
  <c r="K379"/>
  <c r="B380"/>
  <c r="C380"/>
  <c r="D380"/>
  <c r="E380"/>
  <c r="F380"/>
  <c r="G380"/>
  <c r="H380"/>
  <c r="I380"/>
  <c r="J380"/>
  <c r="K380"/>
  <c r="B381"/>
  <c r="C381"/>
  <c r="D381"/>
  <c r="E381"/>
  <c r="F381"/>
  <c r="G381"/>
  <c r="H381"/>
  <c r="I381"/>
  <c r="J381"/>
  <c r="K381"/>
  <c r="B382"/>
  <c r="C382"/>
  <c r="D382"/>
  <c r="E382"/>
  <c r="F382"/>
  <c r="G382"/>
  <c r="H382"/>
  <c r="I382"/>
  <c r="J382"/>
  <c r="K382"/>
  <c r="B383"/>
  <c r="C383"/>
  <c r="D383"/>
  <c r="E383"/>
  <c r="F383"/>
  <c r="G383"/>
  <c r="H383"/>
  <c r="I383"/>
  <c r="J383"/>
  <c r="K383"/>
  <c r="B384"/>
  <c r="C384"/>
  <c r="D384"/>
  <c r="E384"/>
  <c r="F384"/>
  <c r="G384"/>
  <c r="H384"/>
  <c r="I384"/>
  <c r="J384"/>
  <c r="K384"/>
  <c r="B385"/>
  <c r="C385"/>
  <c r="D385"/>
  <c r="E385"/>
  <c r="F385"/>
  <c r="G385"/>
  <c r="H385"/>
  <c r="I385"/>
  <c r="J385"/>
  <c r="K385"/>
  <c r="B386"/>
  <c r="C386"/>
  <c r="D386"/>
  <c r="E386"/>
  <c r="F386"/>
  <c r="G386"/>
  <c r="H386"/>
  <c r="I386"/>
  <c r="J386"/>
  <c r="K386"/>
  <c r="B387"/>
  <c r="C387"/>
  <c r="D387"/>
  <c r="E387"/>
  <c r="F387"/>
  <c r="G387"/>
  <c r="H387"/>
  <c r="I387"/>
  <c r="J387"/>
  <c r="K387"/>
  <c r="B388"/>
  <c r="C388"/>
  <c r="D388"/>
  <c r="E388"/>
  <c r="F388"/>
  <c r="G388"/>
  <c r="H388"/>
  <c r="I388"/>
  <c r="J388"/>
  <c r="K388"/>
  <c r="B389"/>
  <c r="C389"/>
  <c r="D389"/>
  <c r="E389"/>
  <c r="F389"/>
  <c r="G389"/>
  <c r="H389"/>
  <c r="I389"/>
  <c r="J389"/>
  <c r="K389"/>
  <c r="B390"/>
  <c r="C390"/>
  <c r="D390"/>
  <c r="E390"/>
  <c r="F390"/>
  <c r="G390"/>
  <c r="H390"/>
  <c r="I390"/>
  <c r="J390"/>
  <c r="K390"/>
  <c r="B391"/>
  <c r="C391"/>
  <c r="D391"/>
  <c r="E391"/>
  <c r="F391"/>
  <c r="G391"/>
  <c r="H391"/>
  <c r="I391"/>
  <c r="J391"/>
  <c r="K391"/>
  <c r="B392"/>
  <c r="C392"/>
  <c r="D392"/>
  <c r="E392"/>
  <c r="F392"/>
  <c r="G392"/>
  <c r="H392"/>
  <c r="I392"/>
  <c r="J392"/>
  <c r="K392"/>
  <c r="B393"/>
  <c r="C393"/>
  <c r="D393"/>
  <c r="E393"/>
  <c r="F393"/>
  <c r="G393"/>
  <c r="H393"/>
  <c r="I393"/>
  <c r="J393"/>
  <c r="K393"/>
  <c r="B394"/>
  <c r="C394"/>
  <c r="D394"/>
  <c r="E394"/>
  <c r="F394"/>
  <c r="G394"/>
  <c r="H394"/>
  <c r="I394"/>
  <c r="J394"/>
  <c r="K394"/>
  <c r="B395"/>
  <c r="C395"/>
  <c r="D395"/>
  <c r="E395"/>
  <c r="F395"/>
  <c r="G395"/>
  <c r="H395"/>
  <c r="I395"/>
  <c r="J395"/>
  <c r="K395"/>
  <c r="B396"/>
  <c r="C396"/>
  <c r="D396"/>
  <c r="E396"/>
  <c r="F396"/>
  <c r="G396"/>
  <c r="H396"/>
  <c r="I396"/>
  <c r="J396"/>
  <c r="K396"/>
  <c r="B397"/>
  <c r="C397"/>
  <c r="D397"/>
  <c r="E397"/>
  <c r="F397"/>
  <c r="G397"/>
  <c r="H397"/>
  <c r="I397"/>
  <c r="J397"/>
  <c r="K397"/>
  <c r="B398"/>
  <c r="C398"/>
  <c r="D398"/>
  <c r="E398"/>
  <c r="F398"/>
  <c r="G398"/>
  <c r="H398"/>
  <c r="I398"/>
  <c r="J398"/>
  <c r="K398"/>
  <c r="B399"/>
  <c r="C399"/>
  <c r="D399"/>
  <c r="E399"/>
  <c r="F399"/>
  <c r="G399"/>
  <c r="H399"/>
  <c r="I399"/>
  <c r="J399"/>
  <c r="K399"/>
  <c r="B400"/>
  <c r="C400"/>
  <c r="D400"/>
  <c r="E400"/>
  <c r="F400"/>
  <c r="G400"/>
  <c r="H400"/>
  <c r="I400"/>
  <c r="J400"/>
  <c r="K400"/>
  <c r="B401"/>
  <c r="C401"/>
  <c r="D401"/>
  <c r="E401"/>
  <c r="F401"/>
  <c r="G401"/>
  <c r="H401"/>
  <c r="I401"/>
  <c r="J401"/>
  <c r="K401"/>
  <c r="B402"/>
  <c r="C402"/>
  <c r="D402"/>
  <c r="E402"/>
  <c r="F402"/>
  <c r="G402"/>
  <c r="H402"/>
  <c r="I402"/>
  <c r="J402"/>
  <c r="K402"/>
  <c r="B403"/>
  <c r="C403"/>
  <c r="D403"/>
  <c r="E403"/>
  <c r="F403"/>
  <c r="G403"/>
  <c r="H403"/>
  <c r="I403"/>
  <c r="J403"/>
  <c r="K403"/>
  <c r="B404"/>
  <c r="C404"/>
  <c r="D404"/>
  <c r="E404"/>
  <c r="F404"/>
  <c r="G404"/>
  <c r="H404"/>
  <c r="I404"/>
  <c r="J404"/>
  <c r="K404"/>
  <c r="B405"/>
  <c r="C405"/>
  <c r="D405"/>
  <c r="E405"/>
  <c r="F405"/>
  <c r="G405"/>
  <c r="H405"/>
  <c r="I405"/>
  <c r="J405"/>
  <c r="K405"/>
  <c r="B406"/>
  <c r="C406"/>
  <c r="D406"/>
  <c r="E406"/>
  <c r="F406"/>
  <c r="G406"/>
  <c r="H406"/>
  <c r="I406"/>
  <c r="J406"/>
  <c r="K406"/>
  <c r="B407"/>
  <c r="C407"/>
  <c r="D407"/>
  <c r="E407"/>
  <c r="F407"/>
  <c r="G407"/>
  <c r="H407"/>
  <c r="I407"/>
  <c r="J407"/>
  <c r="K407"/>
  <c r="B408"/>
  <c r="C408"/>
  <c r="D408"/>
  <c r="E408"/>
  <c r="F408"/>
  <c r="G408"/>
  <c r="H408"/>
  <c r="I408"/>
  <c r="J408"/>
  <c r="K408"/>
  <c r="B409"/>
  <c r="C409"/>
  <c r="D409"/>
  <c r="E409"/>
  <c r="F409"/>
  <c r="G409"/>
  <c r="H409"/>
  <c r="I409"/>
  <c r="J409"/>
  <c r="K409"/>
  <c r="B410"/>
  <c r="C410"/>
  <c r="D410"/>
  <c r="E410"/>
  <c r="F410"/>
  <c r="G410"/>
  <c r="H410"/>
  <c r="I410"/>
  <c r="J410"/>
  <c r="K410"/>
  <c r="B411"/>
  <c r="C411"/>
  <c r="D411"/>
  <c r="E411"/>
  <c r="F411"/>
  <c r="G411"/>
  <c r="H411"/>
  <c r="I411"/>
  <c r="J411"/>
  <c r="K411"/>
  <c r="B412"/>
  <c r="C412"/>
  <c r="D412"/>
  <c r="E412"/>
  <c r="F412"/>
  <c r="G412"/>
  <c r="H412"/>
  <c r="I412"/>
  <c r="J412"/>
  <c r="K412"/>
  <c r="B413"/>
  <c r="C413"/>
  <c r="D413"/>
  <c r="E413"/>
  <c r="F413"/>
  <c r="G413"/>
  <c r="H413"/>
  <c r="I413"/>
  <c r="J413"/>
  <c r="K413"/>
  <c r="B414"/>
  <c r="C414"/>
  <c r="D414"/>
  <c r="E414"/>
  <c r="F414"/>
  <c r="G414"/>
  <c r="H414"/>
  <c r="I414"/>
  <c r="J414"/>
  <c r="K414"/>
  <c r="B415"/>
  <c r="C415"/>
  <c r="D415"/>
  <c r="E415"/>
  <c r="F415"/>
  <c r="G415"/>
  <c r="H415"/>
  <c r="I415"/>
  <c r="J415"/>
  <c r="K415"/>
  <c r="B416"/>
  <c r="C416"/>
  <c r="D416"/>
  <c r="E416"/>
  <c r="F416"/>
  <c r="G416"/>
  <c r="H416"/>
  <c r="I416"/>
  <c r="J416"/>
  <c r="K416"/>
  <c r="B417"/>
  <c r="C417"/>
  <c r="D417"/>
  <c r="E417"/>
  <c r="F417"/>
  <c r="G417"/>
  <c r="H417"/>
  <c r="I417"/>
  <c r="J417"/>
  <c r="K417"/>
  <c r="B418"/>
  <c r="C418"/>
  <c r="D418"/>
  <c r="E418"/>
  <c r="F418"/>
  <c r="G418"/>
  <c r="H418"/>
  <c r="I418"/>
  <c r="J418"/>
  <c r="K418"/>
  <c r="B419"/>
  <c r="C419"/>
  <c r="D419"/>
  <c r="E419"/>
  <c r="F419"/>
  <c r="G419"/>
  <c r="H419"/>
  <c r="I419"/>
  <c r="J419"/>
  <c r="K419"/>
  <c r="B420"/>
  <c r="C420"/>
  <c r="D420"/>
  <c r="E420"/>
  <c r="F420"/>
  <c r="G420"/>
  <c r="H420"/>
  <c r="I420"/>
  <c r="J420"/>
  <c r="K420"/>
  <c r="B421"/>
  <c r="C421"/>
  <c r="D421"/>
  <c r="E421"/>
  <c r="F421"/>
  <c r="G421"/>
  <c r="H421"/>
  <c r="I421"/>
  <c r="J421"/>
  <c r="K421"/>
  <c r="B422"/>
  <c r="C422"/>
  <c r="D422"/>
  <c r="E422"/>
  <c r="F422"/>
  <c r="G422"/>
  <c r="H422"/>
  <c r="I422"/>
  <c r="J422"/>
  <c r="K422"/>
  <c r="B423"/>
  <c r="C423"/>
  <c r="D423"/>
  <c r="E423"/>
  <c r="F423"/>
  <c r="G423"/>
  <c r="H423"/>
  <c r="I423"/>
  <c r="J423"/>
  <c r="K423"/>
  <c r="B424"/>
  <c r="C424"/>
  <c r="D424"/>
  <c r="E424"/>
  <c r="F424"/>
  <c r="G424"/>
  <c r="H424"/>
  <c r="I424"/>
  <c r="J424"/>
  <c r="K424"/>
  <c r="B425"/>
  <c r="C425"/>
  <c r="D425"/>
  <c r="E425"/>
  <c r="F425"/>
  <c r="G425"/>
  <c r="H425"/>
  <c r="I425"/>
  <c r="J425"/>
  <c r="K425"/>
  <c r="B426"/>
  <c r="C426"/>
  <c r="D426"/>
  <c r="E426"/>
  <c r="F426"/>
  <c r="G426"/>
  <c r="H426"/>
  <c r="I426"/>
  <c r="J426"/>
  <c r="K426"/>
  <c r="B427"/>
  <c r="C427"/>
  <c r="D427"/>
  <c r="E427"/>
  <c r="F427"/>
  <c r="G427"/>
  <c r="H427"/>
  <c r="I427"/>
  <c r="J427"/>
  <c r="K427"/>
  <c r="B428"/>
  <c r="C428"/>
  <c r="D428"/>
  <c r="E428"/>
  <c r="F428"/>
  <c r="G428"/>
  <c r="H428"/>
  <c r="I428"/>
  <c r="J428"/>
  <c r="K428"/>
  <c r="B429"/>
  <c r="C429"/>
  <c r="D429"/>
  <c r="E429"/>
  <c r="F429"/>
  <c r="G429"/>
  <c r="H429"/>
  <c r="I429"/>
  <c r="J429"/>
  <c r="K429"/>
  <c r="B430"/>
  <c r="C430"/>
  <c r="D430"/>
  <c r="E430"/>
  <c r="F430"/>
  <c r="G430"/>
  <c r="H430"/>
  <c r="I430"/>
  <c r="J430"/>
  <c r="K430"/>
  <c r="B431"/>
  <c r="C431"/>
  <c r="D431"/>
  <c r="E431"/>
  <c r="F431"/>
  <c r="G431"/>
  <c r="H431"/>
  <c r="I431"/>
  <c r="J431"/>
  <c r="K431"/>
  <c r="B432"/>
  <c r="C432"/>
  <c r="D432"/>
  <c r="E432"/>
  <c r="F432"/>
  <c r="G432"/>
  <c r="H432"/>
  <c r="I432"/>
  <c r="J432"/>
  <c r="K432"/>
  <c r="B433"/>
  <c r="C433"/>
  <c r="D433"/>
  <c r="E433"/>
  <c r="F433"/>
  <c r="G433"/>
  <c r="H433"/>
  <c r="I433"/>
  <c r="J433"/>
  <c r="K433"/>
  <c r="B434"/>
  <c r="C434"/>
  <c r="D434"/>
  <c r="E434"/>
  <c r="F434"/>
  <c r="G434"/>
  <c r="H434"/>
  <c r="I434"/>
  <c r="J434"/>
  <c r="K434"/>
  <c r="B435"/>
  <c r="C435"/>
  <c r="D435"/>
  <c r="E435"/>
  <c r="F435"/>
  <c r="G435"/>
  <c r="H435"/>
  <c r="I435"/>
  <c r="J435"/>
  <c r="K435"/>
  <c r="B436"/>
  <c r="C436"/>
  <c r="D436"/>
  <c r="E436"/>
  <c r="F436"/>
  <c r="G436"/>
  <c r="H436"/>
  <c r="I436"/>
  <c r="J436"/>
  <c r="K436"/>
  <c r="B437"/>
  <c r="C437"/>
  <c r="D437"/>
  <c r="E437"/>
  <c r="F437"/>
  <c r="G437"/>
  <c r="H437"/>
  <c r="I437"/>
  <c r="J437"/>
  <c r="K437"/>
  <c r="B438"/>
  <c r="C438"/>
  <c r="D438"/>
  <c r="E438"/>
  <c r="F438"/>
  <c r="G438"/>
  <c r="H438"/>
  <c r="I438"/>
  <c r="J438"/>
  <c r="K438"/>
  <c r="B439"/>
  <c r="C439"/>
  <c r="D439"/>
  <c r="E439"/>
  <c r="F439"/>
  <c r="G439"/>
  <c r="H439"/>
  <c r="I439"/>
  <c r="J439"/>
  <c r="K439"/>
  <c r="B440"/>
  <c r="C440"/>
  <c r="D440"/>
  <c r="E440"/>
  <c r="F440"/>
  <c r="G440"/>
  <c r="H440"/>
  <c r="I440"/>
  <c r="J440"/>
  <c r="K440"/>
  <c r="B441"/>
  <c r="C441"/>
  <c r="D441"/>
  <c r="E441"/>
  <c r="F441"/>
  <c r="G441"/>
  <c r="H441"/>
  <c r="I441"/>
  <c r="J441"/>
  <c r="K441"/>
  <c r="B442"/>
  <c r="C442"/>
  <c r="D442"/>
  <c r="E442"/>
  <c r="F442"/>
  <c r="G442"/>
  <c r="H442"/>
  <c r="I442"/>
  <c r="J442"/>
  <c r="K442"/>
  <c r="B443"/>
  <c r="C443"/>
  <c r="D443"/>
  <c r="E443"/>
  <c r="F443"/>
  <c r="G443"/>
  <c r="H443"/>
  <c r="I443"/>
  <c r="J443"/>
  <c r="K443"/>
  <c r="B444"/>
  <c r="C444"/>
  <c r="D444"/>
  <c r="E444"/>
  <c r="F444"/>
  <c r="G444"/>
  <c r="H444"/>
  <c r="I444"/>
  <c r="J444"/>
  <c r="K444"/>
  <c r="B445"/>
  <c r="C445"/>
  <c r="D445"/>
  <c r="E445"/>
  <c r="F445"/>
  <c r="G445"/>
  <c r="H445"/>
  <c r="I445"/>
  <c r="J445"/>
  <c r="K445"/>
  <c r="B446"/>
  <c r="C446"/>
  <c r="D446"/>
  <c r="E446"/>
  <c r="F446"/>
  <c r="G446"/>
  <c r="H446"/>
  <c r="I446"/>
  <c r="J446"/>
  <c r="K446"/>
  <c r="B447"/>
  <c r="C447"/>
  <c r="D447"/>
  <c r="E447"/>
  <c r="F447"/>
  <c r="G447"/>
  <c r="H447"/>
  <c r="I447"/>
  <c r="J447"/>
  <c r="K447"/>
  <c r="B448"/>
  <c r="C448"/>
  <c r="D448"/>
  <c r="E448"/>
  <c r="F448"/>
  <c r="G448"/>
  <c r="H448"/>
  <c r="I448"/>
  <c r="J448"/>
  <c r="K448"/>
  <c r="B449"/>
  <c r="C449"/>
  <c r="D449"/>
  <c r="E449"/>
  <c r="F449"/>
  <c r="G449"/>
  <c r="H449"/>
  <c r="I449"/>
  <c r="J449"/>
  <c r="K449"/>
  <c r="B450"/>
  <c r="C450"/>
  <c r="D450"/>
  <c r="E450"/>
  <c r="F450"/>
  <c r="G450"/>
  <c r="H450"/>
  <c r="I450"/>
  <c r="J450"/>
  <c r="K450"/>
  <c r="B451"/>
  <c r="C451"/>
  <c r="D451"/>
  <c r="E451"/>
  <c r="F451"/>
  <c r="G451"/>
  <c r="H451"/>
  <c r="I451"/>
  <c r="J451"/>
  <c r="K451"/>
  <c r="B452"/>
  <c r="C452"/>
  <c r="D452"/>
  <c r="E452"/>
  <c r="F452"/>
  <c r="G452"/>
  <c r="H452"/>
  <c r="I452"/>
  <c r="J452"/>
  <c r="K452"/>
  <c r="B453"/>
  <c r="C453"/>
  <c r="D453"/>
  <c r="E453"/>
  <c r="F453"/>
  <c r="G453"/>
  <c r="H453"/>
  <c r="I453"/>
  <c r="J453"/>
  <c r="K453"/>
  <c r="B454"/>
  <c r="C454"/>
  <c r="D454"/>
  <c r="E454"/>
  <c r="F454"/>
  <c r="G454"/>
  <c r="H454"/>
  <c r="I454"/>
  <c r="J454"/>
  <c r="K454"/>
  <c r="B455"/>
  <c r="C455"/>
  <c r="D455"/>
  <c r="E455"/>
  <c r="F455"/>
  <c r="G455"/>
  <c r="H455"/>
  <c r="I455"/>
  <c r="J455"/>
  <c r="K455"/>
  <c r="B456"/>
  <c r="C456"/>
  <c r="D456"/>
  <c r="E456"/>
  <c r="F456"/>
  <c r="G456"/>
  <c r="H456"/>
  <c r="I456"/>
  <c r="J456"/>
  <c r="K456"/>
  <c r="B457"/>
  <c r="C457"/>
  <c r="D457"/>
  <c r="E457"/>
  <c r="F457"/>
  <c r="G457"/>
  <c r="H457"/>
  <c r="I457"/>
  <c r="J457"/>
  <c r="K457"/>
  <c r="B458"/>
  <c r="C458"/>
  <c r="D458"/>
  <c r="E458"/>
  <c r="F458"/>
  <c r="G458"/>
  <c r="H458"/>
  <c r="I458"/>
  <c r="J458"/>
  <c r="K458"/>
  <c r="B459"/>
  <c r="C459"/>
  <c r="D459"/>
  <c r="E459"/>
  <c r="F459"/>
  <c r="G459"/>
  <c r="H459"/>
  <c r="I459"/>
  <c r="J459"/>
  <c r="K459"/>
  <c r="B460"/>
  <c r="C460"/>
  <c r="D460"/>
  <c r="E460"/>
  <c r="F460"/>
  <c r="G460"/>
  <c r="H460"/>
  <c r="I460"/>
  <c r="J460"/>
  <c r="K460"/>
  <c r="B461"/>
  <c r="C461"/>
  <c r="D461"/>
  <c r="E461"/>
  <c r="F461"/>
  <c r="G461"/>
  <c r="H461"/>
  <c r="I461"/>
  <c r="J461"/>
  <c r="K461"/>
  <c r="B462"/>
  <c r="C462"/>
  <c r="D462"/>
  <c r="E462"/>
  <c r="F462"/>
  <c r="G462"/>
  <c r="H462"/>
  <c r="I462"/>
  <c r="J462"/>
  <c r="K462"/>
  <c r="B463"/>
  <c r="C463"/>
  <c r="D463"/>
  <c r="E463"/>
  <c r="F463"/>
  <c r="G463"/>
  <c r="H463"/>
  <c r="I463"/>
  <c r="J463"/>
  <c r="K463"/>
  <c r="B464"/>
  <c r="C464"/>
  <c r="D464"/>
  <c r="E464"/>
  <c r="F464"/>
  <c r="G464"/>
  <c r="H464"/>
  <c r="I464"/>
  <c r="J464"/>
  <c r="K464"/>
  <c r="B465"/>
  <c r="C465"/>
  <c r="D465"/>
  <c r="E465"/>
  <c r="F465"/>
  <c r="G465"/>
  <c r="H465"/>
  <c r="I465"/>
  <c r="J465"/>
  <c r="K465"/>
  <c r="B466"/>
  <c r="C466"/>
  <c r="D466"/>
  <c r="E466"/>
  <c r="F466"/>
  <c r="G466"/>
  <c r="H466"/>
  <c r="I466"/>
  <c r="J466"/>
  <c r="K466"/>
  <c r="B467"/>
  <c r="C467"/>
  <c r="D467"/>
  <c r="E467"/>
  <c r="F467"/>
  <c r="G467"/>
  <c r="H467"/>
  <c r="I467"/>
  <c r="J467"/>
  <c r="K467"/>
  <c r="B468"/>
  <c r="C468"/>
  <c r="D468"/>
  <c r="E468"/>
  <c r="F468"/>
  <c r="G468"/>
  <c r="H468"/>
  <c r="I468"/>
  <c r="J468"/>
  <c r="K468"/>
  <c r="B469"/>
  <c r="C469"/>
  <c r="D469"/>
  <c r="E469"/>
  <c r="F469"/>
  <c r="G469"/>
  <c r="H469"/>
  <c r="I469"/>
  <c r="J469"/>
  <c r="K469"/>
  <c r="B470"/>
  <c r="C470"/>
  <c r="D470"/>
  <c r="E470"/>
  <c r="F470"/>
  <c r="G470"/>
  <c r="H470"/>
  <c r="I470"/>
  <c r="J470"/>
  <c r="K470"/>
  <c r="B471"/>
  <c r="C471"/>
  <c r="D471"/>
  <c r="E471"/>
  <c r="F471"/>
  <c r="G471"/>
  <c r="H471"/>
  <c r="I471"/>
  <c r="J471"/>
  <c r="K471"/>
  <c r="B472"/>
  <c r="C472"/>
  <c r="D472"/>
  <c r="E472"/>
  <c r="F472"/>
  <c r="G472"/>
  <c r="H472"/>
  <c r="I472"/>
  <c r="J472"/>
  <c r="K472"/>
  <c r="B473"/>
  <c r="C473"/>
  <c r="D473"/>
  <c r="E473"/>
  <c r="F473"/>
  <c r="G473"/>
  <c r="H473"/>
  <c r="I473"/>
  <c r="J473"/>
  <c r="K473"/>
  <c r="B474"/>
  <c r="C474"/>
  <c r="D474"/>
  <c r="E474"/>
  <c r="F474"/>
  <c r="G474"/>
  <c r="H474"/>
  <c r="I474"/>
  <c r="J474"/>
  <c r="K474"/>
  <c r="B475"/>
  <c r="C475"/>
  <c r="D475"/>
  <c r="E475"/>
  <c r="F475"/>
  <c r="G475"/>
  <c r="H475"/>
  <c r="I475"/>
  <c r="J475"/>
  <c r="K475"/>
  <c r="B476"/>
  <c r="C476"/>
  <c r="D476"/>
  <c r="E476"/>
  <c r="F476"/>
  <c r="G476"/>
  <c r="H476"/>
  <c r="I476"/>
  <c r="J476"/>
  <c r="K476"/>
  <c r="B477"/>
  <c r="C477"/>
  <c r="D477"/>
  <c r="E477"/>
  <c r="F477"/>
  <c r="G477"/>
  <c r="H477"/>
  <c r="I477"/>
  <c r="J477"/>
  <c r="K477"/>
  <c r="B478"/>
  <c r="C478"/>
  <c r="D478"/>
  <c r="E478"/>
  <c r="F478"/>
  <c r="G478"/>
  <c r="H478"/>
  <c r="I478"/>
  <c r="J478"/>
  <c r="K478"/>
  <c r="B479"/>
  <c r="C479"/>
  <c r="D479"/>
  <c r="E479"/>
  <c r="F479"/>
  <c r="G479"/>
  <c r="H479"/>
  <c r="I479"/>
  <c r="J479"/>
  <c r="K479"/>
  <c r="B480"/>
  <c r="C480"/>
  <c r="D480"/>
  <c r="E480"/>
  <c r="F480"/>
  <c r="G480"/>
  <c r="H480"/>
  <c r="I480"/>
  <c r="J480"/>
  <c r="K480"/>
  <c r="B481"/>
  <c r="C481"/>
  <c r="D481"/>
  <c r="E481"/>
  <c r="F481"/>
  <c r="G481"/>
  <c r="H481"/>
  <c r="I481"/>
  <c r="J481"/>
  <c r="K481"/>
  <c r="B482"/>
  <c r="C482"/>
  <c r="D482"/>
  <c r="E482"/>
  <c r="F482"/>
  <c r="G482"/>
  <c r="H482"/>
  <c r="I482"/>
  <c r="J482"/>
  <c r="K482"/>
  <c r="B483"/>
  <c r="C483"/>
  <c r="D483"/>
  <c r="E483"/>
  <c r="F483"/>
  <c r="G483"/>
  <c r="H483"/>
  <c r="I483"/>
  <c r="J483"/>
  <c r="K483"/>
  <c r="B484"/>
  <c r="C484"/>
  <c r="D484"/>
  <c r="E484"/>
  <c r="F484"/>
  <c r="G484"/>
  <c r="H484"/>
  <c r="I484"/>
  <c r="J484"/>
  <c r="K484"/>
  <c r="B485"/>
  <c r="C485"/>
  <c r="D485"/>
  <c r="E485"/>
  <c r="F485"/>
  <c r="G485"/>
  <c r="H485"/>
  <c r="I485"/>
  <c r="J485"/>
  <c r="K485"/>
  <c r="B486"/>
  <c r="C486"/>
  <c r="D486"/>
  <c r="E486"/>
  <c r="F486"/>
  <c r="G486"/>
  <c r="H486"/>
  <c r="I486"/>
  <c r="J486"/>
  <c r="K486"/>
  <c r="B487"/>
  <c r="C487"/>
  <c r="D487"/>
  <c r="E487"/>
  <c r="F487"/>
  <c r="G487"/>
  <c r="H487"/>
  <c r="I487"/>
  <c r="J487"/>
  <c r="K487"/>
  <c r="B488"/>
  <c r="C488"/>
  <c r="D488"/>
  <c r="E488"/>
  <c r="F488"/>
  <c r="G488"/>
  <c r="H488"/>
  <c r="I488"/>
  <c r="J488"/>
  <c r="K488"/>
  <c r="B489"/>
  <c r="C489"/>
  <c r="D489"/>
  <c r="E489"/>
  <c r="F489"/>
  <c r="G489"/>
  <c r="H489"/>
  <c r="I489"/>
  <c r="J489"/>
  <c r="K489"/>
  <c r="B490"/>
  <c r="C490"/>
  <c r="D490"/>
  <c r="E490"/>
  <c r="F490"/>
  <c r="G490"/>
  <c r="H490"/>
  <c r="I490"/>
  <c r="J490"/>
  <c r="K490"/>
  <c r="B491"/>
  <c r="C491"/>
  <c r="D491"/>
  <c r="E491"/>
  <c r="F491"/>
  <c r="G491"/>
  <c r="H491"/>
  <c r="I491"/>
  <c r="J491"/>
  <c r="K491"/>
  <c r="B492"/>
  <c r="C492"/>
  <c r="D492"/>
  <c r="E492"/>
  <c r="F492"/>
  <c r="G492"/>
  <c r="H492"/>
  <c r="I492"/>
  <c r="J492"/>
  <c r="K492"/>
  <c r="B493"/>
  <c r="C493"/>
  <c r="D493"/>
  <c r="E493"/>
  <c r="F493"/>
  <c r="G493"/>
  <c r="H493"/>
  <c r="I493"/>
  <c r="J493"/>
  <c r="K493"/>
  <c r="B494"/>
  <c r="C494"/>
  <c r="D494"/>
  <c r="E494"/>
  <c r="F494"/>
  <c r="G494"/>
  <c r="H494"/>
  <c r="I494"/>
  <c r="J494"/>
  <c r="K494"/>
  <c r="B495"/>
  <c r="C495"/>
  <c r="D495"/>
  <c r="E495"/>
  <c r="F495"/>
  <c r="G495"/>
  <c r="H495"/>
  <c r="I495"/>
  <c r="J495"/>
  <c r="K495"/>
  <c r="B496"/>
  <c r="C496"/>
  <c r="D496"/>
  <c r="E496"/>
  <c r="F496"/>
  <c r="G496"/>
  <c r="H496"/>
  <c r="I496"/>
  <c r="J496"/>
  <c r="K496"/>
  <c r="B497"/>
  <c r="C497"/>
  <c r="D497"/>
  <c r="E497"/>
  <c r="F497"/>
  <c r="G497"/>
  <c r="H497"/>
  <c r="I497"/>
  <c r="J497"/>
  <c r="K497"/>
  <c r="B498"/>
  <c r="C498"/>
  <c r="D498"/>
  <c r="E498"/>
  <c r="F498"/>
  <c r="G498"/>
  <c r="H498"/>
  <c r="I498"/>
  <c r="J498"/>
  <c r="K498"/>
  <c r="B499"/>
  <c r="C499"/>
  <c r="D499"/>
  <c r="E499"/>
  <c r="F499"/>
  <c r="G499"/>
  <c r="H499"/>
  <c r="I499"/>
  <c r="J499"/>
  <c r="K499"/>
  <c r="B500"/>
  <c r="C500"/>
  <c r="D500"/>
  <c r="E500"/>
  <c r="F500"/>
  <c r="G500"/>
  <c r="H500"/>
  <c r="I500"/>
  <c r="J500"/>
  <c r="K500"/>
  <c r="B501"/>
  <c r="C501"/>
  <c r="D501"/>
  <c r="E501"/>
  <c r="F501"/>
  <c r="G501"/>
  <c r="H501"/>
  <c r="I501"/>
  <c r="J501"/>
  <c r="K501"/>
  <c r="B502"/>
  <c r="C502"/>
  <c r="D502"/>
  <c r="E502"/>
  <c r="F502"/>
  <c r="G502"/>
  <c r="H502"/>
  <c r="I502"/>
  <c r="J502"/>
  <c r="K502"/>
  <c r="B503"/>
  <c r="C503"/>
  <c r="D503"/>
  <c r="E503"/>
  <c r="F503"/>
  <c r="G503"/>
  <c r="H503"/>
  <c r="I503"/>
  <c r="J503"/>
  <c r="K503"/>
  <c r="B504"/>
  <c r="C504"/>
  <c r="D504"/>
  <c r="E504"/>
  <c r="F504"/>
  <c r="G504"/>
  <c r="H504"/>
  <c r="I504"/>
  <c r="J504"/>
  <c r="K504"/>
  <c r="B505"/>
  <c r="C505"/>
  <c r="D505"/>
  <c r="E505"/>
  <c r="F505"/>
  <c r="G505"/>
  <c r="H505"/>
  <c r="I505"/>
  <c r="J505"/>
  <c r="K505"/>
  <c r="B506"/>
  <c r="C506"/>
  <c r="D506"/>
  <c r="E506"/>
  <c r="F506"/>
  <c r="G506"/>
  <c r="H506"/>
  <c r="I506"/>
  <c r="J506"/>
  <c r="K506"/>
  <c r="B507"/>
  <c r="C507"/>
  <c r="D507"/>
  <c r="E507"/>
  <c r="F507"/>
  <c r="G507"/>
  <c r="H507"/>
  <c r="I507"/>
  <c r="J507"/>
  <c r="K507"/>
  <c r="B508"/>
  <c r="C508"/>
  <c r="D508"/>
  <c r="E508"/>
  <c r="F508"/>
  <c r="G508"/>
  <c r="H508"/>
  <c r="I508"/>
  <c r="J508"/>
  <c r="K508"/>
  <c r="B509"/>
  <c r="C509"/>
  <c r="D509"/>
  <c r="E509"/>
  <c r="F509"/>
  <c r="G509"/>
  <c r="H509"/>
  <c r="I509"/>
  <c r="J509"/>
  <c r="K509"/>
  <c r="B510"/>
  <c r="C510"/>
  <c r="D510"/>
  <c r="E510"/>
  <c r="F510"/>
  <c r="G510"/>
  <c r="H510"/>
  <c r="I510"/>
  <c r="J510"/>
  <c r="K510"/>
  <c r="B511"/>
  <c r="C511"/>
  <c r="D511"/>
  <c r="E511"/>
  <c r="F511"/>
  <c r="G511"/>
  <c r="H511"/>
  <c r="I511"/>
  <c r="J511"/>
  <c r="K511"/>
  <c r="B512"/>
  <c r="C512"/>
  <c r="D512"/>
  <c r="E512"/>
  <c r="F512"/>
  <c r="G512"/>
  <c r="H512"/>
  <c r="I512"/>
  <c r="J512"/>
  <c r="K512"/>
  <c r="B513"/>
  <c r="C513"/>
  <c r="D513"/>
  <c r="E513"/>
  <c r="F513"/>
  <c r="G513"/>
  <c r="H513"/>
  <c r="I513"/>
  <c r="J513"/>
  <c r="K513"/>
  <c r="B514"/>
  <c r="C514"/>
  <c r="D514"/>
  <c r="E514"/>
  <c r="F514"/>
  <c r="G514"/>
  <c r="H514"/>
  <c r="I514"/>
  <c r="J514"/>
  <c r="K514"/>
  <c r="B515"/>
  <c r="C515"/>
  <c r="D515"/>
  <c r="E515"/>
  <c r="F515"/>
  <c r="G515"/>
  <c r="H515"/>
  <c r="I515"/>
  <c r="J515"/>
  <c r="K515"/>
  <c r="B516"/>
  <c r="C516"/>
  <c r="D516"/>
  <c r="E516"/>
  <c r="F516"/>
  <c r="G516"/>
  <c r="H516"/>
  <c r="I516"/>
  <c r="J516"/>
  <c r="K516"/>
  <c r="B517"/>
  <c r="C517"/>
  <c r="D517"/>
  <c r="E517"/>
  <c r="F517"/>
  <c r="G517"/>
  <c r="H517"/>
  <c r="I517"/>
  <c r="J517"/>
  <c r="K517"/>
  <c r="B518"/>
  <c r="C518"/>
  <c r="D518"/>
  <c r="E518"/>
  <c r="F518"/>
  <c r="G518"/>
  <c r="H518"/>
  <c r="I518"/>
  <c r="J518"/>
  <c r="K518"/>
  <c r="B519"/>
  <c r="C519"/>
  <c r="D519"/>
  <c r="E519"/>
  <c r="F519"/>
  <c r="G519"/>
  <c r="H519"/>
  <c r="I519"/>
  <c r="J519"/>
  <c r="K519"/>
  <c r="B520"/>
  <c r="C520"/>
  <c r="D520"/>
  <c r="E520"/>
  <c r="F520"/>
  <c r="G520"/>
  <c r="H520"/>
  <c r="I520"/>
  <c r="J520"/>
  <c r="K520"/>
  <c r="B521"/>
  <c r="C521"/>
  <c r="D521"/>
  <c r="E521"/>
  <c r="F521"/>
  <c r="G521"/>
  <c r="H521"/>
  <c r="I521"/>
  <c r="J521"/>
  <c r="K521"/>
  <c r="B522"/>
  <c r="C522"/>
  <c r="D522"/>
  <c r="E522"/>
  <c r="F522"/>
  <c r="G522"/>
  <c r="H522"/>
  <c r="I522"/>
  <c r="J522"/>
  <c r="K522"/>
  <c r="B523"/>
  <c r="C523"/>
  <c r="D523"/>
  <c r="E523"/>
  <c r="F523"/>
  <c r="G523"/>
  <c r="H523"/>
  <c r="I523"/>
  <c r="J523"/>
  <c r="K523"/>
  <c r="O38" l="1"/>
  <c r="O34"/>
  <c r="M13"/>
  <c r="M12"/>
  <c r="O24"/>
  <c r="O23"/>
  <c r="O36"/>
</calcChain>
</file>

<file path=xl/sharedStrings.xml><?xml version="1.0" encoding="utf-8"?>
<sst xmlns="http://schemas.openxmlformats.org/spreadsheetml/2006/main" count="42" uniqueCount="31">
  <si>
    <t>United States</t>
  </si>
  <si>
    <t>Small</t>
  </si>
  <si>
    <t>Contract</t>
  </si>
  <si>
    <t>Principal Data Scientist</t>
  </si>
  <si>
    <t>Large</t>
  </si>
  <si>
    <t>Full-Time</t>
  </si>
  <si>
    <t>Applied Machine Learning Scientist</t>
  </si>
  <si>
    <t>Financial Data Analyst</t>
  </si>
  <si>
    <t>Research Scientist</t>
  </si>
  <si>
    <t>Principal Data Engineer</t>
  </si>
  <si>
    <t>Country</t>
  </si>
  <si>
    <t>Salary</t>
  </si>
  <si>
    <t>Job Role</t>
  </si>
  <si>
    <t>Top 5 job Highest Paying job roles</t>
  </si>
  <si>
    <t>Consultant Roles</t>
  </si>
  <si>
    <t>Data Architecture Roles</t>
  </si>
  <si>
    <t>Management &amp; Director Roles</t>
  </si>
  <si>
    <t>Research &amp; AI Roles</t>
  </si>
  <si>
    <t>Data Analytics Roles</t>
  </si>
  <si>
    <t>Data Engineering Roles</t>
  </si>
  <si>
    <t>Machine Learning Roles</t>
  </si>
  <si>
    <t>Data Science Roles</t>
  </si>
  <si>
    <t>Average Salary</t>
  </si>
  <si>
    <t>Job Type</t>
  </si>
  <si>
    <t>Average Salary by Job Type</t>
  </si>
  <si>
    <t>Average salary</t>
  </si>
  <si>
    <t>Employement Type</t>
  </si>
  <si>
    <t>Average Salary by Employment Type</t>
  </si>
  <si>
    <t>Experience Level</t>
  </si>
  <si>
    <t>Average Salary by Experience Level</t>
  </si>
  <si>
    <t>Data Science and Job Salaries Analysis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</si>
</sst>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theme="9" tint="-0.499984740745262"/>
      </top>
      <bottom style="hair">
        <color theme="9" tint="-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0" fillId="0" borderId="0" xfId="0" applyFill="1"/>
    <xf numFmtId="0" fontId="0" fillId="3" borderId="0" xfId="0" applyFill="1"/>
    <xf numFmtId="0" fontId="0" fillId="5" borderId="0" xfId="0" applyFill="1"/>
    <xf numFmtId="0" fontId="2" fillId="6" borderId="0" xfId="0" applyFont="1" applyFill="1" applyAlignment="1">
      <alignment horizontal="left" indent="22"/>
    </xf>
    <xf numFmtId="0" fontId="0" fillId="0" borderId="1" xfId="0" applyBorder="1"/>
    <xf numFmtId="164" fontId="0" fillId="2" borderId="1" xfId="0" applyNumberForma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dPt>
            <c:idx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</c:dPt>
          <c:dPt>
            <c:idx val="1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2"/>
            <c:spPr>
              <a:solidFill>
                <a:schemeClr val="accent6">
                  <a:lumMod val="75000"/>
                </a:schemeClr>
              </a:solidFill>
            </c:spPr>
          </c:dPt>
          <c:cat>
            <c:strRef>
              <c:f>'Data of Salaries '!$M$12:$M$14</c:f>
              <c:strCache>
                <c:ptCount val="3"/>
                <c:pt idx="0">
                  <c:v>Entry-Level</c:v>
                </c:pt>
                <c:pt idx="1">
                  <c:v>Mid-Level</c:v>
                </c:pt>
                <c:pt idx="2">
                  <c:v>Senior-Level</c:v>
                </c:pt>
              </c:strCache>
            </c:strRef>
          </c:cat>
          <c:val>
            <c:numRef>
              <c:f>'Data of Salaries '!$O$12:$O$14</c:f>
              <c:numCache>
                <c:formatCode>"$"#,##0</c:formatCode>
                <c:ptCount val="3"/>
                <c:pt idx="0">
                  <c:v>60503.282352941176</c:v>
                </c:pt>
                <c:pt idx="1">
                  <c:v>86291.979057591627</c:v>
                </c:pt>
                <c:pt idx="2">
                  <c:v>139745.15023474177</c:v>
                </c:pt>
              </c:numCache>
            </c:numRef>
          </c:val>
        </c:ser>
        <c:overlap val="100"/>
        <c:axId val="182305536"/>
        <c:axId val="182307072"/>
      </c:barChart>
      <c:catAx>
        <c:axId val="182305536"/>
        <c:scaling>
          <c:orientation val="minMax"/>
        </c:scaling>
        <c:axPos val="b"/>
        <c:tickLblPos val="nextTo"/>
        <c:crossAx val="182307072"/>
        <c:crosses val="autoZero"/>
        <c:auto val="1"/>
        <c:lblAlgn val="ctr"/>
        <c:lblOffset val="100"/>
      </c:catAx>
      <c:valAx>
        <c:axId val="182307072"/>
        <c:scaling>
          <c:orientation val="minMax"/>
        </c:scaling>
        <c:axPos val="l"/>
        <c:numFmt formatCode="&quot;$&quot;#,##0" sourceLinked="1"/>
        <c:tickLblPos val="nextTo"/>
        <c:crossAx val="182305536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893133116455879"/>
          <c:y val="4.1941716048380547E-2"/>
          <c:w val="0.74837113050522985"/>
          <c:h val="0.70045782936926682"/>
        </c:manualLayout>
      </c:layout>
      <c:barChart>
        <c:barDir val="col"/>
        <c:grouping val="stacked"/>
        <c:ser>
          <c:idx val="0"/>
          <c:order val="0"/>
          <c:dPt>
            <c:idx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</c:dPt>
          <c:dPt>
            <c:idx val="1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2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3"/>
            <c:spPr>
              <a:solidFill>
                <a:schemeClr val="accent6">
                  <a:lumMod val="50000"/>
                </a:schemeClr>
              </a:solidFill>
            </c:spPr>
          </c:dPt>
          <c:cat>
            <c:strRef>
              <c:f>'Data of Salaries '!$M$21:$M$24</c:f>
              <c:strCache>
                <c:ptCount val="4"/>
                <c:pt idx="0">
                  <c:v>Full-Time</c:v>
                </c:pt>
                <c:pt idx="1">
                  <c:v>Contract</c:v>
                </c:pt>
                <c:pt idx="2">
                  <c:v>Freelance</c:v>
                </c:pt>
                <c:pt idx="3">
                  <c:v>Part-Time</c:v>
                </c:pt>
              </c:strCache>
            </c:strRef>
          </c:cat>
          <c:val>
            <c:numRef>
              <c:f>'Data of Salaries '!$O$21:$O$24</c:f>
              <c:numCache>
                <c:formatCode>"$"#,##0</c:formatCode>
                <c:ptCount val="4"/>
                <c:pt idx="0">
                  <c:v>110967.42828282829</c:v>
                </c:pt>
                <c:pt idx="1">
                  <c:v>184575</c:v>
                </c:pt>
                <c:pt idx="2">
                  <c:v>48000</c:v>
                </c:pt>
                <c:pt idx="3">
                  <c:v>33070.5</c:v>
                </c:pt>
              </c:numCache>
            </c:numRef>
          </c:val>
        </c:ser>
        <c:overlap val="100"/>
        <c:axId val="182368896"/>
        <c:axId val="182387072"/>
      </c:barChart>
      <c:catAx>
        <c:axId val="182368896"/>
        <c:scaling>
          <c:orientation val="minMax"/>
        </c:scaling>
        <c:axPos val="b"/>
        <c:tickLblPos val="nextTo"/>
        <c:crossAx val="182387072"/>
        <c:crosses val="autoZero"/>
        <c:auto val="1"/>
        <c:lblAlgn val="ctr"/>
        <c:lblOffset val="100"/>
      </c:catAx>
      <c:valAx>
        <c:axId val="182387072"/>
        <c:scaling>
          <c:orientation val="minMax"/>
        </c:scaling>
        <c:axPos val="l"/>
        <c:numFmt formatCode="&quot;$&quot;#,##0" sourceLinked="1"/>
        <c:tickLblPos val="nextTo"/>
        <c:crossAx val="182368896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6">
                <a:lumMod val="50000"/>
              </a:schemeClr>
            </a:solidFill>
          </c:spPr>
          <c:dPt>
            <c:idx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2"/>
            <c:spPr>
              <a:solidFill>
                <a:schemeClr val="bg2">
                  <a:lumMod val="50000"/>
                </a:schemeClr>
              </a:solidFill>
            </c:spPr>
          </c:dPt>
          <c:dPt>
            <c:idx val="4"/>
            <c:spPr>
              <a:solidFill>
                <a:schemeClr val="bg2">
                  <a:lumMod val="50000"/>
                </a:schemeClr>
              </a:solidFill>
            </c:spPr>
          </c:dPt>
          <c:dPt>
            <c:idx val="5"/>
            <c:spPr>
              <a:solidFill>
                <a:schemeClr val="bg2">
                  <a:lumMod val="25000"/>
                </a:schemeClr>
              </a:solidFill>
            </c:spPr>
          </c:dPt>
          <c:dPt>
            <c:idx val="6"/>
            <c:spPr>
              <a:solidFill>
                <a:schemeClr val="accent6">
                  <a:lumMod val="75000"/>
                </a:schemeClr>
              </a:solidFill>
            </c:spPr>
          </c:dPt>
          <c:cat>
            <c:strRef>
              <c:f>'Data of Salaries '!$M$32:$M$39</c:f>
              <c:strCache>
                <c:ptCount val="8"/>
                <c:pt idx="0">
                  <c:v>Data Science Roles</c:v>
                </c:pt>
                <c:pt idx="1">
                  <c:v>Machine Learning Roles</c:v>
                </c:pt>
                <c:pt idx="2">
                  <c:v>Data Engineering Roles</c:v>
                </c:pt>
                <c:pt idx="3">
                  <c:v>Data Analytics Roles</c:v>
                </c:pt>
                <c:pt idx="4">
                  <c:v>Research &amp; AI Roles</c:v>
                </c:pt>
                <c:pt idx="5">
                  <c:v>Management &amp; Director Roles</c:v>
                </c:pt>
                <c:pt idx="6">
                  <c:v>Data Architecture Roles</c:v>
                </c:pt>
                <c:pt idx="7">
                  <c:v>Consultant Roles</c:v>
                </c:pt>
              </c:strCache>
            </c:strRef>
          </c:cat>
          <c:val>
            <c:numRef>
              <c:f>'Data of Salaries '!$O$32:$O$39</c:f>
              <c:numCache>
                <c:formatCode>"$"#,##0</c:formatCode>
                <c:ptCount val="8"/>
                <c:pt idx="0">
                  <c:v>97518.32432432432</c:v>
                </c:pt>
                <c:pt idx="1">
                  <c:v>89395.5</c:v>
                </c:pt>
                <c:pt idx="2">
                  <c:v>123227.2</c:v>
                </c:pt>
                <c:pt idx="3">
                  <c:v>275000</c:v>
                </c:pt>
                <c:pt idx="4">
                  <c:v>109019.5</c:v>
                </c:pt>
                <c:pt idx="5">
                  <c:v>195074</c:v>
                </c:pt>
                <c:pt idx="6">
                  <c:v>99703</c:v>
                </c:pt>
                <c:pt idx="7">
                  <c:v>68185.333333333328</c:v>
                </c:pt>
              </c:numCache>
            </c:numRef>
          </c:val>
        </c:ser>
        <c:overlap val="100"/>
        <c:axId val="182453760"/>
        <c:axId val="182455296"/>
      </c:barChart>
      <c:catAx>
        <c:axId val="182453760"/>
        <c:scaling>
          <c:orientation val="minMax"/>
        </c:scaling>
        <c:axPos val="b"/>
        <c:tickLblPos val="nextTo"/>
        <c:crossAx val="182455296"/>
        <c:crosses val="autoZero"/>
        <c:auto val="1"/>
        <c:lblAlgn val="ctr"/>
        <c:lblOffset val="100"/>
      </c:catAx>
      <c:valAx>
        <c:axId val="182455296"/>
        <c:scaling>
          <c:orientation val="minMax"/>
        </c:scaling>
        <c:axPos val="l"/>
        <c:numFmt formatCode="&quot;$&quot;#,##0" sourceLinked="1"/>
        <c:tickLblPos val="nextTo"/>
        <c:crossAx val="182453760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bg2">
                  <a:lumMod val="50000"/>
                </a:schemeClr>
              </a:solidFill>
            </c:spPr>
          </c:dPt>
          <c:dPt>
            <c:idx val="1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2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3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4"/>
            <c:spPr>
              <a:solidFill>
                <a:schemeClr val="bg2">
                  <a:lumMod val="75000"/>
                </a:schemeClr>
              </a:solidFill>
            </c:spPr>
          </c:dPt>
          <c:cat>
            <c:strRef>
              <c:f>'Data of Salaries '!$M$46:$M$50</c:f>
              <c:strCache>
                <c:ptCount val="5"/>
                <c:pt idx="0">
                  <c:v>Principal Data Engineer</c:v>
                </c:pt>
                <c:pt idx="1">
                  <c:v>Research Scientist</c:v>
                </c:pt>
                <c:pt idx="2">
                  <c:v>Financial Data Analyst</c:v>
                </c:pt>
                <c:pt idx="3">
                  <c:v>Applied Machine Learning Scientist</c:v>
                </c:pt>
                <c:pt idx="4">
                  <c:v>Principal Data Scientist</c:v>
                </c:pt>
              </c:strCache>
            </c:strRef>
          </c:cat>
          <c:val>
            <c:numRef>
              <c:f>'Data of Salaries '!$O$46:$O$50</c:f>
              <c:numCache>
                <c:formatCode>"$"#,##0</c:formatCode>
                <c:ptCount val="5"/>
                <c:pt idx="0">
                  <c:v>600000</c:v>
                </c:pt>
                <c:pt idx="1">
                  <c:v>450000</c:v>
                </c:pt>
                <c:pt idx="2">
                  <c:v>450000</c:v>
                </c:pt>
                <c:pt idx="3">
                  <c:v>423000</c:v>
                </c:pt>
                <c:pt idx="4">
                  <c:v>416000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476249</xdr:colOff>
      <xdr:row>5</xdr:row>
      <xdr:rowOff>85724</xdr:rowOff>
    </xdr:from>
    <xdr:to>
      <xdr:col>18</xdr:col>
      <xdr:colOff>819150</xdr:colOff>
      <xdr:row>15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523875</xdr:colOff>
      <xdr:row>16</xdr:row>
      <xdr:rowOff>28575</xdr:rowOff>
    </xdr:from>
    <xdr:to>
      <xdr:col>18</xdr:col>
      <xdr:colOff>866776</xdr:colOff>
      <xdr:row>25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552449</xdr:colOff>
      <xdr:row>26</xdr:row>
      <xdr:rowOff>66675</xdr:rowOff>
    </xdr:from>
    <xdr:to>
      <xdr:col>20</xdr:col>
      <xdr:colOff>781049</xdr:colOff>
      <xdr:row>40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400050</xdr:colOff>
      <xdr:row>51</xdr:row>
      <xdr:rowOff>123825</xdr:rowOff>
    </xdr:from>
    <xdr:to>
      <xdr:col>16</xdr:col>
      <xdr:colOff>304800</xdr:colOff>
      <xdr:row>66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csv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>
        <row r="2">
          <cell r="B2" t="str">
            <v>sr. no</v>
          </cell>
          <cell r="C2" t="str">
            <v>Work Year</v>
          </cell>
          <cell r="F2" t="str">
            <v>Job Title</v>
          </cell>
          <cell r="I2" t="str">
            <v>Salary in USD</v>
          </cell>
          <cell r="N2" t="str">
            <v>Employement Type</v>
          </cell>
          <cell r="O2" t="str">
            <v>Company Size</v>
          </cell>
          <cell r="Q2" t="str">
            <v>Salary</v>
          </cell>
          <cell r="R2" t="str">
            <v>Employee Location</v>
          </cell>
          <cell r="S2" t="str">
            <v>Company Location</v>
          </cell>
          <cell r="Y2" t="str">
            <v>Experience Level</v>
          </cell>
        </row>
        <row r="3">
          <cell r="Y3" t="str">
            <v>Mid-Level</v>
          </cell>
        </row>
        <row r="4">
          <cell r="B4">
            <v>1</v>
          </cell>
          <cell r="C4">
            <v>2020</v>
          </cell>
          <cell r="F4" t="str">
            <v>Data Scientist</v>
          </cell>
          <cell r="I4">
            <v>79833</v>
          </cell>
          <cell r="N4" t="str">
            <v>Full-Time</v>
          </cell>
          <cell r="O4" t="str">
            <v>Large</v>
          </cell>
          <cell r="Q4" t="str">
            <v>70000 €</v>
          </cell>
          <cell r="R4" t="str">
            <v>Germany</v>
          </cell>
          <cell r="S4" t="str">
            <v>Germany</v>
          </cell>
          <cell r="Y4" t="str">
            <v>Senior-Level</v>
          </cell>
        </row>
        <row r="5">
          <cell r="B5">
            <v>2</v>
          </cell>
          <cell r="C5">
            <v>2020</v>
          </cell>
          <cell r="F5" t="str">
            <v>Machine Learning Scientist</v>
          </cell>
          <cell r="I5">
            <v>260000</v>
          </cell>
          <cell r="N5" t="str">
            <v>Full-Time</v>
          </cell>
          <cell r="O5" t="str">
            <v>Small</v>
          </cell>
          <cell r="Q5" t="str">
            <v>260000 $</v>
          </cell>
          <cell r="R5" t="str">
            <v>Japan</v>
          </cell>
          <cell r="S5" t="str">
            <v>Japan</v>
          </cell>
          <cell r="Y5" t="str">
            <v>Senior-Level</v>
          </cell>
        </row>
        <row r="6">
          <cell r="B6">
            <v>3</v>
          </cell>
          <cell r="C6">
            <v>2020</v>
          </cell>
          <cell r="F6" t="str">
            <v>Big Data Engineer</v>
          </cell>
          <cell r="I6">
            <v>109024</v>
          </cell>
          <cell r="N6" t="str">
            <v>Full-Time</v>
          </cell>
          <cell r="O6" t="str">
            <v>Contract</v>
          </cell>
          <cell r="Q6" t="str">
            <v>85000 £</v>
          </cell>
          <cell r="R6" t="str">
            <v>United Kingdom</v>
          </cell>
          <cell r="S6" t="str">
            <v>United Kingdom</v>
          </cell>
          <cell r="Y6" t="str">
            <v>Mid-Level</v>
          </cell>
        </row>
        <row r="7">
          <cell r="B7">
            <v>4</v>
          </cell>
          <cell r="C7">
            <v>2020</v>
          </cell>
          <cell r="F7" t="str">
            <v>Product Data Analyst</v>
          </cell>
          <cell r="I7">
            <v>20000</v>
          </cell>
          <cell r="N7" t="str">
            <v>Full-Time</v>
          </cell>
          <cell r="O7" t="str">
            <v>Small</v>
          </cell>
          <cell r="Q7" t="str">
            <v>20000 $</v>
          </cell>
          <cell r="R7" t="str">
            <v>Honduras</v>
          </cell>
          <cell r="S7" t="str">
            <v>Honduras</v>
          </cell>
          <cell r="Y7" t="str">
            <v>Senior-Level</v>
          </cell>
        </row>
        <row r="8">
          <cell r="B8">
            <v>5</v>
          </cell>
          <cell r="C8">
            <v>2020</v>
          </cell>
          <cell r="F8" t="str">
            <v>Machine Learning Engineer</v>
          </cell>
          <cell r="I8">
            <v>150000</v>
          </cell>
          <cell r="N8" t="str">
            <v>Full-Time</v>
          </cell>
          <cell r="O8" t="str">
            <v>Large</v>
          </cell>
          <cell r="Q8" t="str">
            <v>150000 $</v>
          </cell>
          <cell r="R8" t="str">
            <v>United States</v>
          </cell>
          <cell r="S8" t="str">
            <v>United States</v>
          </cell>
          <cell r="Y8" t="str">
            <v>Entry-Level</v>
          </cell>
        </row>
        <row r="9">
          <cell r="B9">
            <v>6</v>
          </cell>
          <cell r="C9">
            <v>2020</v>
          </cell>
          <cell r="F9" t="str">
            <v>Data Analyst</v>
          </cell>
          <cell r="I9">
            <v>72000</v>
          </cell>
          <cell r="N9" t="str">
            <v>Full-Time</v>
          </cell>
          <cell r="O9" t="str">
            <v>Large</v>
          </cell>
          <cell r="Q9" t="str">
            <v>72000 $</v>
          </cell>
          <cell r="R9" t="str">
            <v>United States</v>
          </cell>
          <cell r="S9" t="str">
            <v>United States</v>
          </cell>
          <cell r="Y9" t="str">
            <v>Senior-Level</v>
          </cell>
        </row>
        <row r="10">
          <cell r="B10">
            <v>7</v>
          </cell>
          <cell r="C10">
            <v>2020</v>
          </cell>
          <cell r="F10" t="str">
            <v>Lead Data Scientist</v>
          </cell>
          <cell r="I10">
            <v>190000</v>
          </cell>
          <cell r="N10" t="str">
            <v>Full-Time</v>
          </cell>
          <cell r="O10" t="str">
            <v>Small</v>
          </cell>
          <cell r="Q10" t="str">
            <v>190000 $</v>
          </cell>
          <cell r="R10" t="str">
            <v>United States</v>
          </cell>
          <cell r="S10" t="str">
            <v>United States</v>
          </cell>
          <cell r="Y10" t="str">
            <v>Mid-Level</v>
          </cell>
        </row>
        <row r="11">
          <cell r="B11">
            <v>8</v>
          </cell>
          <cell r="C11">
            <v>2020</v>
          </cell>
          <cell r="F11" t="str">
            <v>Data Scientist</v>
          </cell>
          <cell r="I11">
            <v>35735</v>
          </cell>
          <cell r="N11" t="str">
            <v>Full-Time</v>
          </cell>
          <cell r="O11" t="str">
            <v>Large</v>
          </cell>
          <cell r="Q11" t="str">
            <v>11000000 Ft</v>
          </cell>
          <cell r="R11" t="str">
            <v>Hungary</v>
          </cell>
          <cell r="S11" t="str">
            <v>Hungary</v>
          </cell>
          <cell r="Y11" t="str">
            <v>Mid-Level</v>
          </cell>
        </row>
        <row r="12">
          <cell r="B12">
            <v>9</v>
          </cell>
          <cell r="C12">
            <v>2020</v>
          </cell>
          <cell r="F12" t="str">
            <v>Business Data Analyst</v>
          </cell>
          <cell r="I12">
            <v>135000</v>
          </cell>
          <cell r="N12" t="str">
            <v>Full-Time</v>
          </cell>
          <cell r="O12" t="str">
            <v>Large</v>
          </cell>
          <cell r="Q12" t="str">
            <v>135000 $</v>
          </cell>
          <cell r="R12" t="str">
            <v>United States</v>
          </cell>
          <cell r="S12" t="str">
            <v>United States</v>
          </cell>
          <cell r="Y12" t="str">
            <v>Senior-Level</v>
          </cell>
        </row>
        <row r="13">
          <cell r="B13">
            <v>10</v>
          </cell>
          <cell r="C13">
            <v>2020</v>
          </cell>
          <cell r="F13" t="str">
            <v>Lead Data Engineer</v>
          </cell>
          <cell r="I13">
            <v>125000</v>
          </cell>
          <cell r="N13" t="str">
            <v>Full-Time</v>
          </cell>
          <cell r="O13" t="str">
            <v>Small</v>
          </cell>
          <cell r="Q13" t="str">
            <v>125000 $</v>
          </cell>
          <cell r="R13" t="str">
            <v>New Zealand</v>
          </cell>
          <cell r="S13" t="str">
            <v>New Zealand</v>
          </cell>
          <cell r="Y13" t="str">
            <v>Entry-Level</v>
          </cell>
        </row>
        <row r="14">
          <cell r="B14">
            <v>11</v>
          </cell>
          <cell r="C14">
            <v>2020</v>
          </cell>
          <cell r="F14" t="str">
            <v>Data Scientist</v>
          </cell>
          <cell r="I14">
            <v>51321</v>
          </cell>
          <cell r="N14" t="str">
            <v>Full-Time</v>
          </cell>
          <cell r="O14" t="str">
            <v>Small</v>
          </cell>
          <cell r="Q14" t="str">
            <v>45000 €</v>
          </cell>
          <cell r="R14" t="str">
            <v>France</v>
          </cell>
          <cell r="S14" t="str">
            <v>France</v>
          </cell>
          <cell r="Y14" t="str">
            <v>Mid-Level</v>
          </cell>
        </row>
        <row r="15">
          <cell r="B15">
            <v>12</v>
          </cell>
          <cell r="C15">
            <v>2020</v>
          </cell>
          <cell r="F15" t="str">
            <v>Data Scientist</v>
          </cell>
          <cell r="I15">
            <v>40481</v>
          </cell>
          <cell r="N15" t="str">
            <v>Full-Time</v>
          </cell>
          <cell r="O15" t="str">
            <v>Large</v>
          </cell>
          <cell r="Q15" t="str">
            <v>3000000 ₹</v>
          </cell>
          <cell r="R15" t="str">
            <v>India</v>
          </cell>
          <cell r="S15" t="str">
            <v>India</v>
          </cell>
          <cell r="Y15" t="str">
            <v>Entry-Level</v>
          </cell>
        </row>
        <row r="16">
          <cell r="B16">
            <v>13</v>
          </cell>
          <cell r="C16">
            <v>2020</v>
          </cell>
          <cell r="F16" t="str">
            <v>Data Scientist</v>
          </cell>
          <cell r="I16">
            <v>39916</v>
          </cell>
          <cell r="N16" t="str">
            <v>Full-Time</v>
          </cell>
          <cell r="O16" t="str">
            <v>Contract</v>
          </cell>
          <cell r="Q16" t="str">
            <v>35000 €</v>
          </cell>
          <cell r="R16" t="str">
            <v>France</v>
          </cell>
          <cell r="S16" t="str">
            <v>France</v>
          </cell>
          <cell r="Y16" t="str">
            <v>Mid-Level</v>
          </cell>
        </row>
        <row r="17">
          <cell r="B17">
            <v>14</v>
          </cell>
          <cell r="C17">
            <v>2020</v>
          </cell>
          <cell r="F17" t="str">
            <v>Lead Data Analyst</v>
          </cell>
          <cell r="I17">
            <v>87000</v>
          </cell>
          <cell r="N17" t="str">
            <v>Full-Time</v>
          </cell>
          <cell r="O17" t="str">
            <v>Large</v>
          </cell>
          <cell r="Q17" t="str">
            <v>87000 $</v>
          </cell>
          <cell r="R17" t="str">
            <v>United States</v>
          </cell>
          <cell r="S17" t="str">
            <v>United States</v>
          </cell>
          <cell r="Y17" t="str">
            <v>Mid-Level</v>
          </cell>
        </row>
        <row r="18">
          <cell r="B18">
            <v>15</v>
          </cell>
          <cell r="C18">
            <v>2020</v>
          </cell>
          <cell r="F18" t="str">
            <v>Data Analyst</v>
          </cell>
          <cell r="I18">
            <v>85000</v>
          </cell>
          <cell r="N18" t="str">
            <v>Full-Time</v>
          </cell>
          <cell r="O18" t="str">
            <v>Large</v>
          </cell>
          <cell r="Q18" t="str">
            <v>85000 $</v>
          </cell>
          <cell r="R18" t="str">
            <v>United States</v>
          </cell>
          <cell r="S18" t="str">
            <v>United States</v>
          </cell>
          <cell r="Y18" t="str">
            <v>Mid-Level</v>
          </cell>
        </row>
        <row r="19">
          <cell r="B19">
            <v>16</v>
          </cell>
          <cell r="C19">
            <v>2020</v>
          </cell>
          <cell r="F19" t="str">
            <v>Data Analyst</v>
          </cell>
          <cell r="I19">
            <v>8000</v>
          </cell>
          <cell r="N19" t="str">
            <v>Full-Time</v>
          </cell>
          <cell r="O19" t="str">
            <v>Large</v>
          </cell>
          <cell r="Q19" t="str">
            <v>8000 $</v>
          </cell>
          <cell r="R19" t="str">
            <v>Pakistan</v>
          </cell>
          <cell r="S19" t="str">
            <v>Pakistan</v>
          </cell>
          <cell r="Y19" t="str">
            <v>Entry-Level</v>
          </cell>
        </row>
        <row r="20">
          <cell r="B20">
            <v>17</v>
          </cell>
          <cell r="C20">
            <v>2020</v>
          </cell>
          <cell r="F20" t="str">
            <v>Data Engineer</v>
          </cell>
          <cell r="I20">
            <v>41689</v>
          </cell>
          <cell r="N20" t="str">
            <v>Full-Time</v>
          </cell>
          <cell r="O20" t="str">
            <v>Small</v>
          </cell>
          <cell r="Q20" t="str">
            <v>4450000 ¥</v>
          </cell>
          <cell r="R20" t="str">
            <v>Japan</v>
          </cell>
          <cell r="S20" t="str">
            <v>Japan</v>
          </cell>
          <cell r="Y20" t="str">
            <v>Senior-Level</v>
          </cell>
        </row>
        <row r="21">
          <cell r="B21">
            <v>18</v>
          </cell>
          <cell r="C21">
            <v>2020</v>
          </cell>
          <cell r="F21" t="str">
            <v>Big Data Engineer</v>
          </cell>
          <cell r="I21">
            <v>114047</v>
          </cell>
          <cell r="N21" t="str">
            <v>Full-Time</v>
          </cell>
          <cell r="O21" t="str">
            <v>Small</v>
          </cell>
          <cell r="Q21" t="str">
            <v>100000 €</v>
          </cell>
          <cell r="R21" t="str">
            <v>Poland</v>
          </cell>
          <cell r="S21" t="str">
            <v>United Kingdom</v>
          </cell>
          <cell r="Y21" t="str">
            <v>Entry-Level</v>
          </cell>
        </row>
        <row r="22">
          <cell r="B22">
            <v>19</v>
          </cell>
          <cell r="C22">
            <v>2020</v>
          </cell>
          <cell r="F22" t="str">
            <v>Data Science Consultant</v>
          </cell>
          <cell r="I22">
            <v>5707</v>
          </cell>
          <cell r="N22" t="str">
            <v>Full-Time</v>
          </cell>
          <cell r="O22" t="str">
            <v>Contract</v>
          </cell>
          <cell r="Q22" t="str">
            <v>423000 ₹</v>
          </cell>
          <cell r="R22" t="str">
            <v>India</v>
          </cell>
          <cell r="S22" t="str">
            <v>India</v>
          </cell>
          <cell r="Y22" t="str">
            <v>Mid-Level</v>
          </cell>
        </row>
        <row r="23">
          <cell r="B23">
            <v>20</v>
          </cell>
          <cell r="C23">
            <v>2020</v>
          </cell>
          <cell r="F23" t="str">
            <v>Lead Data Engineer</v>
          </cell>
          <cell r="I23">
            <v>56000</v>
          </cell>
          <cell r="N23" t="str">
            <v>Full-Time</v>
          </cell>
          <cell r="O23" t="str">
            <v>Contract</v>
          </cell>
          <cell r="Q23" t="str">
            <v>56000 $</v>
          </cell>
          <cell r="R23" t="str">
            <v>Portugal</v>
          </cell>
          <cell r="S23" t="str">
            <v>United States</v>
          </cell>
          <cell r="Y23" t="str">
            <v>Mid-Level</v>
          </cell>
        </row>
        <row r="24">
          <cell r="B24">
            <v>21</v>
          </cell>
          <cell r="C24">
            <v>2020</v>
          </cell>
          <cell r="F24" t="str">
            <v>Machine Learning Engineer</v>
          </cell>
          <cell r="I24">
            <v>43331</v>
          </cell>
          <cell r="N24" t="str">
            <v>Full-Time</v>
          </cell>
          <cell r="O24" t="str">
            <v>Contract</v>
          </cell>
          <cell r="Q24" t="str">
            <v>299000 CN¥</v>
          </cell>
          <cell r="R24" t="str">
            <v>China</v>
          </cell>
          <cell r="S24" t="str">
            <v>China</v>
          </cell>
          <cell r="Y24" t="str">
            <v>Mid-Level</v>
          </cell>
        </row>
        <row r="25">
          <cell r="B25">
            <v>22</v>
          </cell>
          <cell r="C25">
            <v>2020</v>
          </cell>
          <cell r="F25" t="str">
            <v>Product Data Analyst</v>
          </cell>
          <cell r="I25">
            <v>6072</v>
          </cell>
          <cell r="N25" t="str">
            <v>Full-Time</v>
          </cell>
          <cell r="O25" t="str">
            <v>Large</v>
          </cell>
          <cell r="Q25" t="str">
            <v>450000 ₹</v>
          </cell>
          <cell r="R25" t="str">
            <v>India</v>
          </cell>
          <cell r="S25" t="str">
            <v>India</v>
          </cell>
          <cell r="Y25" t="str">
            <v>Senior-Level</v>
          </cell>
        </row>
        <row r="26">
          <cell r="B26">
            <v>23</v>
          </cell>
          <cell r="C26">
            <v>2020</v>
          </cell>
          <cell r="F26" t="str">
            <v>Data Engineer</v>
          </cell>
          <cell r="I26">
            <v>47899</v>
          </cell>
          <cell r="N26" t="str">
            <v>Full-Time</v>
          </cell>
          <cell r="O26" t="str">
            <v>Large</v>
          </cell>
          <cell r="Q26" t="str">
            <v>42000 €</v>
          </cell>
          <cell r="R26" t="str">
            <v>Greece</v>
          </cell>
          <cell r="S26" t="str">
            <v>Greece</v>
          </cell>
          <cell r="Y26" t="str">
            <v>Mid-Level</v>
          </cell>
        </row>
        <row r="27">
          <cell r="B27">
            <v>24</v>
          </cell>
          <cell r="C27">
            <v>2020</v>
          </cell>
          <cell r="F27" t="str">
            <v>BI Data Analyst</v>
          </cell>
          <cell r="I27">
            <v>98000</v>
          </cell>
          <cell r="N27" t="str">
            <v>Full-Time</v>
          </cell>
          <cell r="O27" t="str">
            <v>Contract</v>
          </cell>
          <cell r="Q27" t="str">
            <v>98000 $</v>
          </cell>
          <cell r="R27" t="str">
            <v>United States</v>
          </cell>
          <cell r="S27" t="str">
            <v>United States</v>
          </cell>
          <cell r="Y27" t="str">
            <v>Mid-Level</v>
          </cell>
        </row>
        <row r="28">
          <cell r="B28">
            <v>25</v>
          </cell>
          <cell r="C28">
            <v>2020</v>
          </cell>
          <cell r="F28" t="str">
            <v>Lead Data Scientist</v>
          </cell>
          <cell r="I28">
            <v>115000</v>
          </cell>
          <cell r="N28" t="str">
            <v>Full-Time</v>
          </cell>
          <cell r="O28" t="str">
            <v>Large</v>
          </cell>
          <cell r="Q28" t="str">
            <v>115000 $</v>
          </cell>
          <cell r="R28" t="str">
            <v>United Arab Emirates</v>
          </cell>
          <cell r="S28" t="str">
            <v>United Arab Emirates</v>
          </cell>
          <cell r="Y28" t="str">
            <v>Executive</v>
          </cell>
        </row>
        <row r="29">
          <cell r="B29">
            <v>26</v>
          </cell>
          <cell r="C29">
            <v>2020</v>
          </cell>
          <cell r="F29" t="str">
            <v>Director of Data Science</v>
          </cell>
          <cell r="I29">
            <v>325000</v>
          </cell>
          <cell r="N29" t="str">
            <v>Full-Time</v>
          </cell>
          <cell r="O29" t="str">
            <v>Large</v>
          </cell>
          <cell r="Q29" t="str">
            <v>325000 $</v>
          </cell>
          <cell r="R29" t="str">
            <v>United States</v>
          </cell>
          <cell r="S29" t="str">
            <v>United States</v>
          </cell>
          <cell r="Y29" t="str">
            <v>Entry-Level</v>
          </cell>
        </row>
        <row r="30">
          <cell r="B30">
            <v>27</v>
          </cell>
          <cell r="C30">
            <v>2020</v>
          </cell>
          <cell r="F30" t="str">
            <v>Research Scientist</v>
          </cell>
          <cell r="I30">
            <v>42000</v>
          </cell>
          <cell r="N30" t="str">
            <v>Full-Time</v>
          </cell>
          <cell r="O30" t="str">
            <v>Large</v>
          </cell>
          <cell r="Q30" t="str">
            <v>42000 $</v>
          </cell>
          <cell r="R30" t="str">
            <v>Netherlands</v>
          </cell>
          <cell r="S30" t="str">
            <v>Netherlands</v>
          </cell>
          <cell r="Y30" t="str">
            <v>Senior-Level</v>
          </cell>
        </row>
        <row r="31">
          <cell r="B31">
            <v>28</v>
          </cell>
          <cell r="C31">
            <v>2020</v>
          </cell>
          <cell r="F31" t="str">
            <v>Data Engineer</v>
          </cell>
          <cell r="I31">
            <v>33511</v>
          </cell>
          <cell r="N31" t="str">
            <v>Full-Time</v>
          </cell>
          <cell r="O31" t="str">
            <v>Small</v>
          </cell>
          <cell r="Q31" t="str">
            <v>720000 Mex$</v>
          </cell>
          <cell r="R31" t="str">
            <v>Mexico</v>
          </cell>
          <cell r="S31" t="str">
            <v>Mexico</v>
          </cell>
          <cell r="Y31" t="str">
            <v>Entry-Level</v>
          </cell>
        </row>
        <row r="32">
          <cell r="B32">
            <v>29</v>
          </cell>
          <cell r="C32">
            <v>2020</v>
          </cell>
          <cell r="F32" t="str">
            <v>Business Data Analyst</v>
          </cell>
          <cell r="I32">
            <v>100000</v>
          </cell>
          <cell r="N32" t="str">
            <v>Contract</v>
          </cell>
          <cell r="O32" t="str">
            <v>Large</v>
          </cell>
          <cell r="Q32" t="str">
            <v>100000 $</v>
          </cell>
          <cell r="R32" t="str">
            <v>United States</v>
          </cell>
          <cell r="S32" t="str">
            <v>United States</v>
          </cell>
          <cell r="Y32" t="str">
            <v>Senior-Level</v>
          </cell>
        </row>
        <row r="33">
          <cell r="B33">
            <v>30</v>
          </cell>
          <cell r="C33">
            <v>2020</v>
          </cell>
          <cell r="F33" t="str">
            <v>Machine Learning Manager</v>
          </cell>
          <cell r="I33">
            <v>117104</v>
          </cell>
          <cell r="N33" t="str">
            <v>Full-Time</v>
          </cell>
          <cell r="O33" t="str">
            <v>Large</v>
          </cell>
          <cell r="Q33" t="str">
            <v>157000 C$</v>
          </cell>
          <cell r="R33" t="str">
            <v>Canada</v>
          </cell>
          <cell r="S33" t="str">
            <v>Canada</v>
          </cell>
          <cell r="Y33" t="str">
            <v>Mid-Level</v>
          </cell>
        </row>
        <row r="34">
          <cell r="B34">
            <v>31</v>
          </cell>
          <cell r="C34">
            <v>2020</v>
          </cell>
          <cell r="F34" t="str">
            <v>Data Engineering Manager</v>
          </cell>
          <cell r="I34">
            <v>59303</v>
          </cell>
          <cell r="N34" t="str">
            <v>Full-Time</v>
          </cell>
          <cell r="O34" t="str">
            <v>Small</v>
          </cell>
          <cell r="Q34" t="str">
            <v>51999 €</v>
          </cell>
          <cell r="R34" t="str">
            <v>Germany</v>
          </cell>
          <cell r="S34" t="str">
            <v>Germany</v>
          </cell>
          <cell r="Y34" t="str">
            <v>Entry-Level</v>
          </cell>
        </row>
        <row r="35">
          <cell r="B35">
            <v>32</v>
          </cell>
          <cell r="C35">
            <v>2020</v>
          </cell>
          <cell r="F35" t="str">
            <v>Big Data Engineer</v>
          </cell>
          <cell r="I35">
            <v>70000</v>
          </cell>
          <cell r="N35" t="str">
            <v>Full-Time</v>
          </cell>
          <cell r="O35" t="str">
            <v>Large</v>
          </cell>
          <cell r="Q35" t="str">
            <v>70000 $</v>
          </cell>
          <cell r="R35" t="str">
            <v>United States</v>
          </cell>
          <cell r="S35" t="str">
            <v>United States</v>
          </cell>
          <cell r="Y35" t="str">
            <v>Senior-Level</v>
          </cell>
        </row>
        <row r="36">
          <cell r="B36">
            <v>33</v>
          </cell>
          <cell r="C36">
            <v>2020</v>
          </cell>
          <cell r="F36" t="str">
            <v>Data Scientist</v>
          </cell>
          <cell r="I36">
            <v>68428</v>
          </cell>
          <cell r="N36" t="str">
            <v>Full-Time</v>
          </cell>
          <cell r="O36" t="str">
            <v>Large</v>
          </cell>
          <cell r="Q36" t="str">
            <v>60000 €</v>
          </cell>
          <cell r="R36" t="str">
            <v>Greece</v>
          </cell>
          <cell r="S36" t="str">
            <v>United States</v>
          </cell>
          <cell r="Y36" t="str">
            <v>Mid-Level</v>
          </cell>
        </row>
        <row r="37">
          <cell r="B37">
            <v>34</v>
          </cell>
          <cell r="C37">
            <v>2020</v>
          </cell>
          <cell r="F37" t="str">
            <v>Research Scientist</v>
          </cell>
          <cell r="I37">
            <v>450000</v>
          </cell>
          <cell r="N37" t="str">
            <v>Full-Time</v>
          </cell>
          <cell r="O37" t="str">
            <v>Contract</v>
          </cell>
          <cell r="Q37" t="str">
            <v>450000 $</v>
          </cell>
          <cell r="R37" t="str">
            <v>United States</v>
          </cell>
          <cell r="S37" t="str">
            <v>United States</v>
          </cell>
          <cell r="Y37" t="str">
            <v>Mid-Level</v>
          </cell>
        </row>
        <row r="38">
          <cell r="B38">
            <v>35</v>
          </cell>
          <cell r="C38">
            <v>2020</v>
          </cell>
          <cell r="F38" t="str">
            <v>Data Analyst</v>
          </cell>
          <cell r="I38">
            <v>46759</v>
          </cell>
          <cell r="N38" t="str">
            <v>Full-Time</v>
          </cell>
          <cell r="O38" t="str">
            <v>Large</v>
          </cell>
          <cell r="Q38" t="str">
            <v>41000 €</v>
          </cell>
          <cell r="R38" t="str">
            <v>France</v>
          </cell>
          <cell r="S38" t="str">
            <v>France</v>
          </cell>
          <cell r="Y38" t="str">
            <v>Mid-Level</v>
          </cell>
        </row>
        <row r="39">
          <cell r="B39">
            <v>36</v>
          </cell>
          <cell r="C39">
            <v>2020</v>
          </cell>
          <cell r="F39" t="str">
            <v>Data Engineer</v>
          </cell>
          <cell r="I39">
            <v>74130</v>
          </cell>
          <cell r="N39" t="str">
            <v>Full-Time</v>
          </cell>
          <cell r="O39" t="str">
            <v>Large</v>
          </cell>
          <cell r="Q39" t="str">
            <v>65000 €</v>
          </cell>
          <cell r="R39" t="str">
            <v>Austria</v>
          </cell>
          <cell r="S39" t="str">
            <v>Austria</v>
          </cell>
          <cell r="Y39" t="str">
            <v>Mid-Level</v>
          </cell>
        </row>
        <row r="40">
          <cell r="B40">
            <v>37</v>
          </cell>
          <cell r="C40">
            <v>2020</v>
          </cell>
          <cell r="F40" t="str">
            <v>Data Science Consultant</v>
          </cell>
          <cell r="I40">
            <v>103000</v>
          </cell>
          <cell r="N40" t="str">
            <v>Full-Time</v>
          </cell>
          <cell r="O40" t="str">
            <v>Large</v>
          </cell>
          <cell r="Q40" t="str">
            <v>103000 $</v>
          </cell>
          <cell r="R40" t="str">
            <v>United States</v>
          </cell>
          <cell r="S40" t="str">
            <v>United States</v>
          </cell>
          <cell r="Y40" t="str">
            <v>Entry-Level</v>
          </cell>
        </row>
        <row r="41">
          <cell r="B41">
            <v>38</v>
          </cell>
          <cell r="C41">
            <v>2020</v>
          </cell>
          <cell r="F41" t="str">
            <v>Machine Learning Engineer</v>
          </cell>
          <cell r="I41">
            <v>250000</v>
          </cell>
          <cell r="N41" t="str">
            <v>Full-Time</v>
          </cell>
          <cell r="O41" t="str">
            <v>Large</v>
          </cell>
          <cell r="Q41" t="str">
            <v>250000 $</v>
          </cell>
          <cell r="R41" t="str">
            <v>United States</v>
          </cell>
          <cell r="S41" t="str">
            <v>United States</v>
          </cell>
          <cell r="Y41" t="str">
            <v>Entry-Level</v>
          </cell>
        </row>
        <row r="42">
          <cell r="B42">
            <v>39</v>
          </cell>
          <cell r="C42">
            <v>2020</v>
          </cell>
          <cell r="F42" t="str">
            <v>Data Analyst</v>
          </cell>
          <cell r="I42">
            <v>10000</v>
          </cell>
          <cell r="N42" t="str">
            <v>Full-Time</v>
          </cell>
          <cell r="O42" t="str">
            <v>Small</v>
          </cell>
          <cell r="Q42" t="str">
            <v>10000 $</v>
          </cell>
          <cell r="R42" t="str">
            <v>Nigeria</v>
          </cell>
          <cell r="S42" t="str">
            <v>Nigeria</v>
          </cell>
          <cell r="Y42" t="str">
            <v>Entry-Level</v>
          </cell>
        </row>
        <row r="43">
          <cell r="B43">
            <v>40</v>
          </cell>
          <cell r="C43">
            <v>2020</v>
          </cell>
          <cell r="F43" t="str">
            <v>Machine Learning Engineer</v>
          </cell>
          <cell r="I43">
            <v>138000</v>
          </cell>
          <cell r="N43" t="str">
            <v>Full-Time</v>
          </cell>
          <cell r="O43" t="str">
            <v>Small</v>
          </cell>
          <cell r="Q43" t="str">
            <v>138000 $</v>
          </cell>
          <cell r="R43" t="str">
            <v>United States</v>
          </cell>
          <cell r="S43" t="str">
            <v>United States</v>
          </cell>
          <cell r="Y43" t="str">
            <v>Mid-Level</v>
          </cell>
        </row>
        <row r="44">
          <cell r="B44">
            <v>41</v>
          </cell>
          <cell r="C44">
            <v>2020</v>
          </cell>
          <cell r="F44" t="str">
            <v>Data Scientist</v>
          </cell>
          <cell r="I44">
            <v>45760</v>
          </cell>
          <cell r="N44" t="str">
            <v>Full-Time</v>
          </cell>
          <cell r="O44" t="str">
            <v>Small</v>
          </cell>
          <cell r="Q44" t="str">
            <v>45760 $</v>
          </cell>
          <cell r="R44" t="str">
            <v>Philippines</v>
          </cell>
          <cell r="S44" t="str">
            <v>United States</v>
          </cell>
          <cell r="Y44" t="str">
            <v>Executive</v>
          </cell>
        </row>
        <row r="45">
          <cell r="B45">
            <v>42</v>
          </cell>
          <cell r="C45">
            <v>2020</v>
          </cell>
          <cell r="F45" t="str">
            <v>Data Engineering Manager</v>
          </cell>
          <cell r="I45">
            <v>79833</v>
          </cell>
          <cell r="N45" t="str">
            <v>Full-Time</v>
          </cell>
          <cell r="O45" t="str">
            <v>Large</v>
          </cell>
          <cell r="Q45" t="str">
            <v>70000 €</v>
          </cell>
          <cell r="R45" t="str">
            <v>Spain</v>
          </cell>
          <cell r="S45" t="str">
            <v>Spain</v>
          </cell>
          <cell r="Y45" t="str">
            <v>Mid-Level</v>
          </cell>
        </row>
        <row r="46">
          <cell r="B46">
            <v>43</v>
          </cell>
          <cell r="C46">
            <v>2020</v>
          </cell>
          <cell r="F46" t="str">
            <v>Machine Learning Infrastructure Engineer</v>
          </cell>
          <cell r="I46">
            <v>50180</v>
          </cell>
          <cell r="N46" t="str">
            <v>Full-Time</v>
          </cell>
          <cell r="O46" t="str">
            <v>Contract</v>
          </cell>
          <cell r="Q46" t="str">
            <v>44000 €</v>
          </cell>
          <cell r="R46" t="str">
            <v>Portugal</v>
          </cell>
          <cell r="S46" t="str">
            <v>Portugal</v>
          </cell>
          <cell r="Y46" t="str">
            <v>Mid-Level</v>
          </cell>
        </row>
        <row r="47">
          <cell r="B47">
            <v>44</v>
          </cell>
          <cell r="C47">
            <v>2020</v>
          </cell>
          <cell r="F47" t="str">
            <v>Data Engineer</v>
          </cell>
          <cell r="I47">
            <v>106000</v>
          </cell>
          <cell r="N47" t="str">
            <v>Full-Time</v>
          </cell>
          <cell r="O47" t="str">
            <v>Large</v>
          </cell>
          <cell r="Q47" t="str">
            <v>106000 $</v>
          </cell>
          <cell r="R47" t="str">
            <v>United States</v>
          </cell>
          <cell r="S47" t="str">
            <v>United States</v>
          </cell>
          <cell r="Y47" t="str">
            <v>Mid-Level</v>
          </cell>
        </row>
        <row r="48">
          <cell r="B48">
            <v>45</v>
          </cell>
          <cell r="C48">
            <v>2020</v>
          </cell>
          <cell r="F48" t="str">
            <v>Data Engineer</v>
          </cell>
          <cell r="I48">
            <v>112872</v>
          </cell>
          <cell r="N48" t="str">
            <v>Full-Time</v>
          </cell>
          <cell r="O48" t="str">
            <v>Large</v>
          </cell>
          <cell r="Q48" t="str">
            <v>88000 £</v>
          </cell>
          <cell r="R48" t="str">
            <v>United Kingdom</v>
          </cell>
          <cell r="S48" t="str">
            <v>United Kingdom</v>
          </cell>
          <cell r="Y48" t="str">
            <v>Entry-Level</v>
          </cell>
        </row>
        <row r="49">
          <cell r="B49">
            <v>46</v>
          </cell>
          <cell r="C49">
            <v>2020</v>
          </cell>
          <cell r="F49" t="str">
            <v>ML Engineer</v>
          </cell>
          <cell r="I49">
            <v>15966</v>
          </cell>
          <cell r="N49" t="str">
            <v>Part-Time</v>
          </cell>
          <cell r="O49" t="str">
            <v>Small</v>
          </cell>
          <cell r="Q49" t="str">
            <v>14000 €</v>
          </cell>
          <cell r="R49" t="str">
            <v>Germany</v>
          </cell>
          <cell r="S49" t="str">
            <v>Germany</v>
          </cell>
          <cell r="Y49" t="str">
            <v>Mid-Level</v>
          </cell>
        </row>
        <row r="50">
          <cell r="B50">
            <v>47</v>
          </cell>
          <cell r="C50">
            <v>2020</v>
          </cell>
          <cell r="F50" t="str">
            <v>Data Scientist</v>
          </cell>
          <cell r="I50">
            <v>76958</v>
          </cell>
          <cell r="N50" t="str">
            <v>Full-Time</v>
          </cell>
          <cell r="O50" t="str">
            <v>Small</v>
          </cell>
          <cell r="Q50" t="str">
            <v>60000 £</v>
          </cell>
          <cell r="R50" t="str">
            <v>United Kingdom</v>
          </cell>
          <cell r="S50" t="str">
            <v>United Kingdom</v>
          </cell>
          <cell r="Y50" t="str">
            <v>Senior-Level</v>
          </cell>
        </row>
        <row r="51">
          <cell r="B51">
            <v>48</v>
          </cell>
          <cell r="C51">
            <v>2020</v>
          </cell>
          <cell r="F51" t="str">
            <v>Data Engineer</v>
          </cell>
          <cell r="I51">
            <v>188000</v>
          </cell>
          <cell r="N51" t="str">
            <v>Full-Time</v>
          </cell>
          <cell r="O51" t="str">
            <v>Large</v>
          </cell>
          <cell r="Q51" t="str">
            <v>188000 $</v>
          </cell>
          <cell r="R51" t="str">
            <v>United States</v>
          </cell>
          <cell r="S51" t="str">
            <v>United States</v>
          </cell>
          <cell r="Y51" t="str">
            <v>Mid-Level</v>
          </cell>
        </row>
        <row r="52">
          <cell r="B52">
            <v>49</v>
          </cell>
          <cell r="C52">
            <v>2020</v>
          </cell>
          <cell r="F52" t="str">
            <v>Data Scientist</v>
          </cell>
          <cell r="I52">
            <v>105000</v>
          </cell>
          <cell r="N52" t="str">
            <v>Full-Time</v>
          </cell>
          <cell r="O52" t="str">
            <v>Large</v>
          </cell>
          <cell r="Q52" t="str">
            <v>105000 $</v>
          </cell>
          <cell r="R52" t="str">
            <v>United States</v>
          </cell>
          <cell r="S52" t="str">
            <v>United States</v>
          </cell>
          <cell r="Y52" t="str">
            <v>Mid-Level</v>
          </cell>
        </row>
        <row r="53">
          <cell r="B53">
            <v>50</v>
          </cell>
          <cell r="C53">
            <v>2020</v>
          </cell>
          <cell r="F53" t="str">
            <v>Data Engineer</v>
          </cell>
          <cell r="I53">
            <v>70139</v>
          </cell>
          <cell r="N53" t="str">
            <v>Full-Time</v>
          </cell>
          <cell r="O53" t="str">
            <v>Large</v>
          </cell>
          <cell r="Q53" t="str">
            <v>61500 €</v>
          </cell>
          <cell r="R53" t="str">
            <v>France</v>
          </cell>
          <cell r="S53" t="str">
            <v>France</v>
          </cell>
          <cell r="Y53" t="str">
            <v>Entry-Level</v>
          </cell>
        </row>
        <row r="54">
          <cell r="B54">
            <v>51</v>
          </cell>
          <cell r="C54">
            <v>2020</v>
          </cell>
          <cell r="F54" t="str">
            <v>Data Analyst</v>
          </cell>
          <cell r="I54">
            <v>6072</v>
          </cell>
          <cell r="N54" t="str">
            <v>Full-Time</v>
          </cell>
          <cell r="O54" t="str">
            <v>Small</v>
          </cell>
          <cell r="Q54" t="str">
            <v>450000 ₹</v>
          </cell>
          <cell r="R54" t="str">
            <v>India</v>
          </cell>
          <cell r="S54" t="str">
            <v>India</v>
          </cell>
          <cell r="Y54" t="str">
            <v>Entry-Level</v>
          </cell>
        </row>
        <row r="55">
          <cell r="B55">
            <v>52</v>
          </cell>
          <cell r="C55">
            <v>2020</v>
          </cell>
          <cell r="F55" t="str">
            <v>Data Analyst</v>
          </cell>
          <cell r="I55">
            <v>91000</v>
          </cell>
          <cell r="N55" t="str">
            <v>Full-Time</v>
          </cell>
          <cell r="O55" t="str">
            <v>Large</v>
          </cell>
          <cell r="Q55" t="str">
            <v>91000 $</v>
          </cell>
          <cell r="R55" t="str">
            <v>United States</v>
          </cell>
          <cell r="S55" t="str">
            <v>United States</v>
          </cell>
          <cell r="Y55" t="str">
            <v>Entry-Level</v>
          </cell>
        </row>
        <row r="56">
          <cell r="B56">
            <v>53</v>
          </cell>
          <cell r="C56">
            <v>2020</v>
          </cell>
          <cell r="F56" t="str">
            <v>AI Scientist</v>
          </cell>
          <cell r="I56">
            <v>45896</v>
          </cell>
          <cell r="N56" t="str">
            <v>Full-Time</v>
          </cell>
          <cell r="O56" t="str">
            <v>Small</v>
          </cell>
          <cell r="Q56" t="str">
            <v>300000 kr</v>
          </cell>
          <cell r="R56" t="str">
            <v>Denmark</v>
          </cell>
          <cell r="S56" t="str">
            <v>Denmark</v>
          </cell>
          <cell r="Y56" t="str">
            <v>Entry-Level</v>
          </cell>
        </row>
        <row r="57">
          <cell r="B57">
            <v>54</v>
          </cell>
          <cell r="C57">
            <v>2020</v>
          </cell>
          <cell r="F57" t="str">
            <v>Data Engineer</v>
          </cell>
          <cell r="I57">
            <v>54742</v>
          </cell>
          <cell r="N57" t="str">
            <v>Full-Time</v>
          </cell>
          <cell r="O57" t="str">
            <v>Large</v>
          </cell>
          <cell r="Q57" t="str">
            <v>48000 €</v>
          </cell>
          <cell r="R57" t="str">
            <v>Pakistan</v>
          </cell>
          <cell r="S57" t="str">
            <v>Germany</v>
          </cell>
          <cell r="Y57" t="str">
            <v>Senior-Level</v>
          </cell>
        </row>
        <row r="58">
          <cell r="B58">
            <v>55</v>
          </cell>
          <cell r="C58">
            <v>2020</v>
          </cell>
          <cell r="F58" t="str">
            <v>Computer Vision Engineer</v>
          </cell>
          <cell r="I58">
            <v>60000</v>
          </cell>
          <cell r="N58" t="str">
            <v>Freelance</v>
          </cell>
          <cell r="O58" t="str">
            <v>Small</v>
          </cell>
          <cell r="Q58" t="str">
            <v>60000 $</v>
          </cell>
          <cell r="R58" t="str">
            <v>Russia</v>
          </cell>
          <cell r="S58" t="str">
            <v>United States</v>
          </cell>
          <cell r="Y58" t="str">
            <v>Senior-Level</v>
          </cell>
        </row>
        <row r="59">
          <cell r="B59">
            <v>56</v>
          </cell>
          <cell r="C59">
            <v>2020</v>
          </cell>
          <cell r="F59" t="str">
            <v>Principal Data Scientist</v>
          </cell>
          <cell r="I59">
            <v>148261</v>
          </cell>
          <cell r="N59" t="str">
            <v>Full-Time</v>
          </cell>
          <cell r="O59" t="str">
            <v>Contract</v>
          </cell>
          <cell r="Q59" t="str">
            <v>130000 €</v>
          </cell>
          <cell r="R59" t="str">
            <v>Germany</v>
          </cell>
          <cell r="S59" t="str">
            <v>Germany</v>
          </cell>
          <cell r="Y59" t="str">
            <v>Mid-Level</v>
          </cell>
        </row>
        <row r="60">
          <cell r="B60">
            <v>57</v>
          </cell>
          <cell r="C60">
            <v>2020</v>
          </cell>
          <cell r="F60" t="str">
            <v>Data Scientist</v>
          </cell>
          <cell r="I60">
            <v>38776</v>
          </cell>
          <cell r="N60" t="str">
            <v>Full-Time</v>
          </cell>
          <cell r="O60" t="str">
            <v>Contract</v>
          </cell>
          <cell r="Q60" t="str">
            <v>34000 €</v>
          </cell>
          <cell r="R60" t="str">
            <v>Spain</v>
          </cell>
          <cell r="S60" t="str">
            <v>Spain</v>
          </cell>
          <cell r="Y60" t="str">
            <v>Mid-Level</v>
          </cell>
        </row>
        <row r="61">
          <cell r="B61">
            <v>58</v>
          </cell>
          <cell r="C61">
            <v>2020</v>
          </cell>
          <cell r="F61" t="str">
            <v>Data Scientist</v>
          </cell>
          <cell r="I61">
            <v>118000</v>
          </cell>
          <cell r="N61" t="str">
            <v>Full-Time</v>
          </cell>
          <cell r="O61" t="str">
            <v>Contract</v>
          </cell>
          <cell r="Q61" t="str">
            <v>118000 $</v>
          </cell>
          <cell r="R61" t="str">
            <v>United States</v>
          </cell>
          <cell r="S61" t="str">
            <v>United States</v>
          </cell>
          <cell r="Y61" t="str">
            <v>Senior-Level</v>
          </cell>
        </row>
        <row r="62">
          <cell r="B62">
            <v>59</v>
          </cell>
          <cell r="C62">
            <v>2020</v>
          </cell>
          <cell r="F62" t="str">
            <v>Data Scientist</v>
          </cell>
          <cell r="I62">
            <v>120000</v>
          </cell>
          <cell r="N62" t="str">
            <v>Full-Time</v>
          </cell>
          <cell r="O62" t="str">
            <v>Large</v>
          </cell>
          <cell r="Q62" t="str">
            <v>120000 $</v>
          </cell>
          <cell r="R62" t="str">
            <v>United States</v>
          </cell>
          <cell r="S62" t="str">
            <v>United States</v>
          </cell>
          <cell r="Y62" t="str">
            <v>Mid-Level</v>
          </cell>
        </row>
        <row r="63">
          <cell r="B63">
            <v>60</v>
          </cell>
          <cell r="C63">
            <v>2020</v>
          </cell>
          <cell r="F63" t="str">
            <v>Data Scientist</v>
          </cell>
          <cell r="I63">
            <v>138350</v>
          </cell>
          <cell r="N63" t="str">
            <v>Full-Time</v>
          </cell>
          <cell r="O63" t="str">
            <v>Contract</v>
          </cell>
          <cell r="Q63" t="str">
            <v>138350 $</v>
          </cell>
          <cell r="R63" t="str">
            <v>United States</v>
          </cell>
          <cell r="S63" t="str">
            <v>United States</v>
          </cell>
          <cell r="Y63" t="str">
            <v>Mid-Level</v>
          </cell>
        </row>
        <row r="64">
          <cell r="B64">
            <v>61</v>
          </cell>
          <cell r="C64">
            <v>2020</v>
          </cell>
          <cell r="F64" t="str">
            <v>Data Engineer</v>
          </cell>
          <cell r="I64">
            <v>110000</v>
          </cell>
          <cell r="N64" t="str">
            <v>Full-Time</v>
          </cell>
          <cell r="O64" t="str">
            <v>Large</v>
          </cell>
          <cell r="Q64" t="str">
            <v>110000 $</v>
          </cell>
          <cell r="R64" t="str">
            <v>United States</v>
          </cell>
          <cell r="S64" t="str">
            <v>United States</v>
          </cell>
          <cell r="Y64" t="str">
            <v>Mid-Level</v>
          </cell>
        </row>
        <row r="65">
          <cell r="B65">
            <v>62</v>
          </cell>
          <cell r="C65">
            <v>2020</v>
          </cell>
          <cell r="F65" t="str">
            <v>Data Engineer</v>
          </cell>
          <cell r="I65">
            <v>130800</v>
          </cell>
          <cell r="N65" t="str">
            <v>Full-Time</v>
          </cell>
          <cell r="O65" t="str">
            <v>Contract</v>
          </cell>
          <cell r="Q65" t="str">
            <v>130800 $</v>
          </cell>
          <cell r="R65" t="str">
            <v>Spain</v>
          </cell>
          <cell r="S65" t="str">
            <v>United States</v>
          </cell>
          <cell r="Y65" t="str">
            <v>Entry-Level</v>
          </cell>
        </row>
        <row r="66">
          <cell r="B66">
            <v>63</v>
          </cell>
          <cell r="C66">
            <v>2020</v>
          </cell>
          <cell r="F66" t="str">
            <v>Data Scientist</v>
          </cell>
          <cell r="I66">
            <v>21669</v>
          </cell>
          <cell r="N66" t="str">
            <v>Part-Time</v>
          </cell>
          <cell r="O66" t="str">
            <v>Small</v>
          </cell>
          <cell r="Q66" t="str">
            <v>19000 €</v>
          </cell>
          <cell r="R66" t="str">
            <v>Italy</v>
          </cell>
          <cell r="S66" t="str">
            <v>Italy</v>
          </cell>
          <cell r="Y66" t="str">
            <v>Senior-Level</v>
          </cell>
        </row>
        <row r="67">
          <cell r="B67">
            <v>64</v>
          </cell>
          <cell r="C67">
            <v>2020</v>
          </cell>
          <cell r="F67" t="str">
            <v>Data Scientist</v>
          </cell>
          <cell r="I67">
            <v>412000</v>
          </cell>
          <cell r="N67" t="str">
            <v>Full-Time</v>
          </cell>
          <cell r="O67" t="str">
            <v>Large</v>
          </cell>
          <cell r="Q67" t="str">
            <v>412000 $</v>
          </cell>
          <cell r="R67" t="str">
            <v>United States</v>
          </cell>
          <cell r="S67" t="str">
            <v>United States</v>
          </cell>
          <cell r="Y67" t="str">
            <v>Senior-Level</v>
          </cell>
        </row>
        <row r="68">
          <cell r="B68">
            <v>65</v>
          </cell>
          <cell r="C68">
            <v>2020</v>
          </cell>
          <cell r="F68" t="str">
            <v>Machine Learning Engineer</v>
          </cell>
          <cell r="I68">
            <v>45618</v>
          </cell>
          <cell r="N68" t="str">
            <v>Full-Time</v>
          </cell>
          <cell r="O68" t="str">
            <v>Small</v>
          </cell>
          <cell r="Q68" t="str">
            <v>40000 €</v>
          </cell>
          <cell r="R68" t="str">
            <v>Croatia</v>
          </cell>
          <cell r="S68" t="str">
            <v>Croatia</v>
          </cell>
          <cell r="Y68" t="str">
            <v>Entry-Level</v>
          </cell>
        </row>
        <row r="69">
          <cell r="B69">
            <v>66</v>
          </cell>
          <cell r="C69">
            <v>2020</v>
          </cell>
          <cell r="F69" t="str">
            <v>Data Scientist</v>
          </cell>
          <cell r="I69">
            <v>62726</v>
          </cell>
          <cell r="N69" t="str">
            <v>Full-Time</v>
          </cell>
          <cell r="O69" t="str">
            <v>Small</v>
          </cell>
          <cell r="Q69" t="str">
            <v>55000 €</v>
          </cell>
          <cell r="R69" t="str">
            <v>Germany</v>
          </cell>
          <cell r="S69" t="str">
            <v>Germany</v>
          </cell>
          <cell r="Y69" t="str">
            <v>Entry-Level</v>
          </cell>
        </row>
        <row r="70">
          <cell r="B70">
            <v>67</v>
          </cell>
          <cell r="C70">
            <v>2020</v>
          </cell>
          <cell r="F70" t="str">
            <v>Data Scientist</v>
          </cell>
          <cell r="I70">
            <v>49268</v>
          </cell>
          <cell r="N70" t="str">
            <v>Full-Time</v>
          </cell>
          <cell r="O70" t="str">
            <v>Small</v>
          </cell>
          <cell r="Q70" t="str">
            <v>43200 €</v>
          </cell>
          <cell r="R70" t="str">
            <v>Germany</v>
          </cell>
          <cell r="S70" t="str">
            <v>Germany</v>
          </cell>
          <cell r="Y70" t="str">
            <v>Senior-Level</v>
          </cell>
        </row>
        <row r="71">
          <cell r="B71">
            <v>68</v>
          </cell>
          <cell r="C71">
            <v>2020</v>
          </cell>
          <cell r="F71" t="str">
            <v>Data Science Manager</v>
          </cell>
          <cell r="I71">
            <v>190200</v>
          </cell>
          <cell r="N71" t="str">
            <v>Full-Time</v>
          </cell>
          <cell r="O71" t="str">
            <v>Contract</v>
          </cell>
          <cell r="Q71" t="str">
            <v>190200 $</v>
          </cell>
          <cell r="R71" t="str">
            <v>United States</v>
          </cell>
          <cell r="S71" t="str">
            <v>United States</v>
          </cell>
          <cell r="Y71" t="str">
            <v>Senior-Level</v>
          </cell>
        </row>
        <row r="72">
          <cell r="B72">
            <v>69</v>
          </cell>
          <cell r="C72">
            <v>2020</v>
          </cell>
          <cell r="F72" t="str">
            <v>Data Scientist</v>
          </cell>
          <cell r="I72">
            <v>91237</v>
          </cell>
          <cell r="N72" t="str">
            <v>Full-Time</v>
          </cell>
          <cell r="O72" t="str">
            <v>Small</v>
          </cell>
          <cell r="Q72" t="str">
            <v>80000 €</v>
          </cell>
          <cell r="R72" t="str">
            <v>Austria</v>
          </cell>
          <cell r="S72" t="str">
            <v>Austria</v>
          </cell>
          <cell r="Y72" t="str">
            <v>Mid-Level</v>
          </cell>
        </row>
        <row r="73">
          <cell r="B73">
            <v>70</v>
          </cell>
          <cell r="C73">
            <v>2020</v>
          </cell>
          <cell r="F73" t="str">
            <v>Data Scientist</v>
          </cell>
          <cell r="I73">
            <v>62726</v>
          </cell>
          <cell r="N73" t="str">
            <v>Full-Time</v>
          </cell>
          <cell r="O73" t="str">
            <v>Small</v>
          </cell>
          <cell r="Q73" t="str">
            <v>55000 €</v>
          </cell>
          <cell r="R73" t="str">
            <v>France</v>
          </cell>
          <cell r="S73" t="str">
            <v>Luxembourg</v>
          </cell>
          <cell r="Y73" t="str">
            <v>Mid-Level</v>
          </cell>
        </row>
        <row r="74">
          <cell r="B74">
            <v>71</v>
          </cell>
          <cell r="C74">
            <v>2020</v>
          </cell>
          <cell r="F74" t="str">
            <v>Data Scientist</v>
          </cell>
          <cell r="I74">
            <v>42197</v>
          </cell>
          <cell r="N74" t="str">
            <v>Full-Time</v>
          </cell>
          <cell r="O74" t="str">
            <v>Small</v>
          </cell>
          <cell r="Q74" t="str">
            <v>37000 €</v>
          </cell>
          <cell r="R74" t="str">
            <v>France</v>
          </cell>
          <cell r="S74" t="str">
            <v>France</v>
          </cell>
          <cell r="Y74" t="str">
            <v>Entry-Level</v>
          </cell>
        </row>
        <row r="75">
          <cell r="B75">
            <v>72</v>
          </cell>
          <cell r="C75">
            <v>2021</v>
          </cell>
          <cell r="F75" t="str">
            <v>Research Scientist</v>
          </cell>
          <cell r="I75">
            <v>82528</v>
          </cell>
          <cell r="N75" t="str">
            <v>Full-Time</v>
          </cell>
          <cell r="O75" t="str">
            <v>Large</v>
          </cell>
          <cell r="Q75" t="str">
            <v>60000 £</v>
          </cell>
          <cell r="R75" t="str">
            <v>United Kingdom</v>
          </cell>
          <cell r="S75" t="str">
            <v>United Kingdom</v>
          </cell>
          <cell r="Y75" t="str">
            <v>Executive</v>
          </cell>
        </row>
        <row r="76">
          <cell r="B76">
            <v>73</v>
          </cell>
          <cell r="C76">
            <v>2021</v>
          </cell>
          <cell r="F76" t="str">
            <v>BI Data Analyst</v>
          </cell>
          <cell r="I76">
            <v>150000</v>
          </cell>
          <cell r="N76" t="str">
            <v>Full-Time</v>
          </cell>
          <cell r="O76" t="str">
            <v>Large</v>
          </cell>
          <cell r="Q76" t="str">
            <v>150000 $</v>
          </cell>
          <cell r="R76" t="str">
            <v>India</v>
          </cell>
          <cell r="S76" t="str">
            <v>United States</v>
          </cell>
          <cell r="Y76" t="str">
            <v>Executive</v>
          </cell>
        </row>
        <row r="77">
          <cell r="B77">
            <v>74</v>
          </cell>
          <cell r="C77">
            <v>2021</v>
          </cell>
          <cell r="F77" t="str">
            <v>Head of Data</v>
          </cell>
          <cell r="I77">
            <v>235000</v>
          </cell>
          <cell r="N77" t="str">
            <v>Full-Time</v>
          </cell>
          <cell r="O77" t="str">
            <v>Large</v>
          </cell>
          <cell r="Q77" t="str">
            <v>235000 $</v>
          </cell>
          <cell r="R77" t="str">
            <v>United States</v>
          </cell>
          <cell r="S77" t="str">
            <v>United States</v>
          </cell>
          <cell r="Y77" t="str">
            <v>Mid-Level</v>
          </cell>
        </row>
        <row r="78">
          <cell r="B78">
            <v>75</v>
          </cell>
          <cell r="C78">
            <v>2021</v>
          </cell>
          <cell r="F78" t="str">
            <v>BI Data Analyst</v>
          </cell>
          <cell r="I78">
            <v>100000</v>
          </cell>
          <cell r="N78" t="str">
            <v>Full-Time</v>
          </cell>
          <cell r="O78" t="str">
            <v>Contract</v>
          </cell>
          <cell r="Q78" t="str">
            <v>100000 $</v>
          </cell>
          <cell r="R78" t="str">
            <v>United States</v>
          </cell>
          <cell r="S78" t="str">
            <v>United States</v>
          </cell>
          <cell r="Y78" t="str">
            <v>Mid-Level</v>
          </cell>
        </row>
        <row r="79">
          <cell r="B79">
            <v>76</v>
          </cell>
          <cell r="C79">
            <v>2021</v>
          </cell>
          <cell r="F79" t="str">
            <v>3D Computer Vision Researcher</v>
          </cell>
          <cell r="I79">
            <v>5409</v>
          </cell>
          <cell r="N79" t="str">
            <v>Part-Time</v>
          </cell>
          <cell r="O79" t="str">
            <v>Contract</v>
          </cell>
          <cell r="Q79" t="str">
            <v>400000 ₹</v>
          </cell>
          <cell r="R79" t="str">
            <v>India</v>
          </cell>
          <cell r="S79" t="str">
            <v>India</v>
          </cell>
          <cell r="Y79" t="str">
            <v>Mid-Level</v>
          </cell>
        </row>
        <row r="80">
          <cell r="B80">
            <v>77</v>
          </cell>
          <cell r="C80">
            <v>2021</v>
          </cell>
          <cell r="F80" t="str">
            <v>ML Engineer</v>
          </cell>
          <cell r="I80">
            <v>270000</v>
          </cell>
          <cell r="N80" t="str">
            <v>Contract</v>
          </cell>
          <cell r="O80" t="str">
            <v>Large</v>
          </cell>
          <cell r="Q80" t="str">
            <v>270000 $</v>
          </cell>
          <cell r="R80" t="str">
            <v>United States</v>
          </cell>
          <cell r="S80" t="str">
            <v>United States</v>
          </cell>
          <cell r="Y80" t="str">
            <v>Entry-Level</v>
          </cell>
        </row>
        <row r="81">
          <cell r="B81">
            <v>78</v>
          </cell>
          <cell r="C81">
            <v>2021</v>
          </cell>
          <cell r="F81" t="str">
            <v>Data Analyst</v>
          </cell>
          <cell r="I81">
            <v>80000</v>
          </cell>
          <cell r="N81" t="str">
            <v>Full-Time</v>
          </cell>
          <cell r="O81" t="str">
            <v>Contract</v>
          </cell>
          <cell r="Q81" t="str">
            <v>80000 $</v>
          </cell>
          <cell r="R81" t="str">
            <v>United States</v>
          </cell>
          <cell r="S81" t="str">
            <v>United States</v>
          </cell>
          <cell r="Y81" t="str">
            <v>Senior-Level</v>
          </cell>
        </row>
        <row r="82">
          <cell r="B82">
            <v>79</v>
          </cell>
          <cell r="C82">
            <v>2021</v>
          </cell>
          <cell r="F82" t="str">
            <v>Data Analytics Engineer</v>
          </cell>
          <cell r="I82">
            <v>79197</v>
          </cell>
          <cell r="N82" t="str">
            <v>Full-Time</v>
          </cell>
          <cell r="O82" t="str">
            <v>Large</v>
          </cell>
          <cell r="Q82" t="str">
            <v>67000 €</v>
          </cell>
          <cell r="R82" t="str">
            <v>Germany</v>
          </cell>
          <cell r="S82" t="str">
            <v>Germany</v>
          </cell>
          <cell r="Y82" t="str">
            <v>Mid-Level</v>
          </cell>
        </row>
        <row r="83">
          <cell r="B83">
            <v>80</v>
          </cell>
          <cell r="C83">
            <v>2021</v>
          </cell>
          <cell r="F83" t="str">
            <v>Data Engineer</v>
          </cell>
          <cell r="I83">
            <v>140000</v>
          </cell>
          <cell r="N83" t="str">
            <v>Full-Time</v>
          </cell>
          <cell r="O83" t="str">
            <v>Large</v>
          </cell>
          <cell r="Q83" t="str">
            <v>140000 $</v>
          </cell>
          <cell r="R83" t="str">
            <v>United States</v>
          </cell>
          <cell r="S83" t="str">
            <v>United States</v>
          </cell>
          <cell r="Y83" t="str">
            <v>Mid-Level</v>
          </cell>
        </row>
        <row r="84">
          <cell r="B84">
            <v>81</v>
          </cell>
          <cell r="C84">
            <v>2021</v>
          </cell>
          <cell r="F84" t="str">
            <v>Applied Data Scientist</v>
          </cell>
          <cell r="I84">
            <v>54238</v>
          </cell>
          <cell r="N84" t="str">
            <v>Full-Time</v>
          </cell>
          <cell r="O84" t="str">
            <v>Large</v>
          </cell>
          <cell r="Q84" t="str">
            <v>68000 C$</v>
          </cell>
          <cell r="R84" t="str">
            <v>United Kingdom</v>
          </cell>
          <cell r="S84" t="str">
            <v>Canada</v>
          </cell>
          <cell r="Y84" t="str">
            <v>Mid-Level</v>
          </cell>
        </row>
        <row r="85">
          <cell r="B85">
            <v>82</v>
          </cell>
          <cell r="C85">
            <v>2021</v>
          </cell>
          <cell r="F85" t="str">
            <v>Machine Learning Engineer</v>
          </cell>
          <cell r="I85">
            <v>47282</v>
          </cell>
          <cell r="N85" t="str">
            <v>Full-Time</v>
          </cell>
          <cell r="O85" t="str">
            <v>Small</v>
          </cell>
          <cell r="Q85" t="str">
            <v>40000 €</v>
          </cell>
          <cell r="R85" t="str">
            <v>Spain</v>
          </cell>
          <cell r="S85" t="str">
            <v>Spain</v>
          </cell>
          <cell r="Y85" t="str">
            <v>Executive</v>
          </cell>
        </row>
        <row r="86">
          <cell r="B86">
            <v>83</v>
          </cell>
          <cell r="C86">
            <v>2021</v>
          </cell>
          <cell r="F86" t="str">
            <v>Director of Data Science</v>
          </cell>
          <cell r="I86">
            <v>153667</v>
          </cell>
          <cell r="N86" t="str">
            <v>Full-Time</v>
          </cell>
          <cell r="O86" t="str">
            <v>Large</v>
          </cell>
          <cell r="Q86" t="str">
            <v>130000 €</v>
          </cell>
          <cell r="R86" t="str">
            <v>Italy</v>
          </cell>
          <cell r="S86" t="str">
            <v>Poland</v>
          </cell>
          <cell r="Y86" t="str">
            <v>Mid-Level</v>
          </cell>
        </row>
        <row r="87">
          <cell r="B87">
            <v>84</v>
          </cell>
          <cell r="C87">
            <v>2021</v>
          </cell>
          <cell r="F87" t="str">
            <v>Data Engineer</v>
          </cell>
          <cell r="I87">
            <v>28476</v>
          </cell>
          <cell r="N87" t="str">
            <v>Full-Time</v>
          </cell>
          <cell r="O87" t="str">
            <v>Large</v>
          </cell>
          <cell r="Q87" t="str">
            <v>110000 zł</v>
          </cell>
          <cell r="R87" t="str">
            <v>Poland</v>
          </cell>
          <cell r="S87" t="str">
            <v>Poland</v>
          </cell>
          <cell r="Y87" t="str">
            <v>Entry-Level</v>
          </cell>
        </row>
        <row r="88">
          <cell r="B88">
            <v>85</v>
          </cell>
          <cell r="C88">
            <v>2021</v>
          </cell>
          <cell r="F88" t="str">
            <v>Data Analyst</v>
          </cell>
          <cell r="I88">
            <v>59102</v>
          </cell>
          <cell r="N88" t="str">
            <v>Full-Time</v>
          </cell>
          <cell r="O88" t="str">
            <v>Contract</v>
          </cell>
          <cell r="Q88" t="str">
            <v>50000 €</v>
          </cell>
          <cell r="R88" t="str">
            <v>France</v>
          </cell>
          <cell r="S88" t="str">
            <v>France</v>
          </cell>
          <cell r="Y88" t="str">
            <v>Mid-Level</v>
          </cell>
        </row>
        <row r="89">
          <cell r="B89">
            <v>86</v>
          </cell>
          <cell r="C89">
            <v>2021</v>
          </cell>
          <cell r="F89" t="str">
            <v>Data Analytics Engineer</v>
          </cell>
          <cell r="I89">
            <v>110000</v>
          </cell>
          <cell r="N89" t="str">
            <v>Full-Time</v>
          </cell>
          <cell r="O89" t="str">
            <v>Large</v>
          </cell>
          <cell r="Q89" t="str">
            <v>110000 $</v>
          </cell>
          <cell r="R89" t="str">
            <v>United States</v>
          </cell>
          <cell r="S89" t="str">
            <v>United States</v>
          </cell>
          <cell r="Y89" t="str">
            <v>Senior-Level</v>
          </cell>
        </row>
        <row r="90">
          <cell r="B90">
            <v>87</v>
          </cell>
          <cell r="C90">
            <v>2021</v>
          </cell>
          <cell r="F90" t="str">
            <v>Lead Data Analyst</v>
          </cell>
          <cell r="I90">
            <v>170000</v>
          </cell>
          <cell r="N90" t="str">
            <v>Full-Time</v>
          </cell>
          <cell r="O90" t="str">
            <v>Large</v>
          </cell>
          <cell r="Q90" t="str">
            <v>170000 $</v>
          </cell>
          <cell r="R90" t="str">
            <v>United States</v>
          </cell>
          <cell r="S90" t="str">
            <v>United States</v>
          </cell>
          <cell r="Y90" t="str">
            <v>Senior-Level</v>
          </cell>
        </row>
        <row r="91">
          <cell r="B91">
            <v>88</v>
          </cell>
          <cell r="C91">
            <v>2021</v>
          </cell>
          <cell r="F91" t="str">
            <v>Data Analyst</v>
          </cell>
          <cell r="I91">
            <v>80000</v>
          </cell>
          <cell r="N91" t="str">
            <v>Full-Time</v>
          </cell>
          <cell r="O91" t="str">
            <v>Small</v>
          </cell>
          <cell r="Q91" t="str">
            <v>80000 $</v>
          </cell>
          <cell r="R91" t="str">
            <v>Bulgaria</v>
          </cell>
          <cell r="S91" t="str">
            <v>United States</v>
          </cell>
          <cell r="Y91" t="str">
            <v>Senior-Level</v>
          </cell>
        </row>
        <row r="92">
          <cell r="B92">
            <v>89</v>
          </cell>
          <cell r="C92">
            <v>2021</v>
          </cell>
          <cell r="F92" t="str">
            <v>Marketing Data Analyst</v>
          </cell>
          <cell r="I92">
            <v>88654</v>
          </cell>
          <cell r="N92" t="str">
            <v>Full-Time</v>
          </cell>
          <cell r="O92" t="str">
            <v>Large</v>
          </cell>
          <cell r="Q92" t="str">
            <v>75000 €</v>
          </cell>
          <cell r="R92" t="str">
            <v>Greece</v>
          </cell>
          <cell r="S92" t="str">
            <v>Denmark</v>
          </cell>
          <cell r="Y92" t="str">
            <v>Entry-Level</v>
          </cell>
        </row>
        <row r="93">
          <cell r="B93">
            <v>90</v>
          </cell>
          <cell r="C93">
            <v>2021</v>
          </cell>
          <cell r="F93" t="str">
            <v>Data Science Consultant</v>
          </cell>
          <cell r="I93">
            <v>76833</v>
          </cell>
          <cell r="N93" t="str">
            <v>Full-Time</v>
          </cell>
          <cell r="O93" t="str">
            <v>Small</v>
          </cell>
          <cell r="Q93" t="str">
            <v>65000 €</v>
          </cell>
          <cell r="R93" t="str">
            <v>Germany</v>
          </cell>
          <cell r="S93" t="str">
            <v>Germany</v>
          </cell>
          <cell r="Y93" t="str">
            <v>Mid-Level</v>
          </cell>
        </row>
        <row r="94">
          <cell r="B94">
            <v>91</v>
          </cell>
          <cell r="C94">
            <v>2021</v>
          </cell>
          <cell r="F94" t="str">
            <v>Lead Data Analyst</v>
          </cell>
          <cell r="I94">
            <v>19609</v>
          </cell>
          <cell r="N94" t="str">
            <v>Full-Time</v>
          </cell>
          <cell r="O94" t="str">
            <v>Large</v>
          </cell>
          <cell r="Q94" t="str">
            <v>1450000 ₹</v>
          </cell>
          <cell r="R94" t="str">
            <v>India</v>
          </cell>
          <cell r="S94" t="str">
            <v>India</v>
          </cell>
          <cell r="Y94" t="str">
            <v>Senior-Level</v>
          </cell>
        </row>
        <row r="95">
          <cell r="B95">
            <v>92</v>
          </cell>
          <cell r="C95">
            <v>2021</v>
          </cell>
          <cell r="F95" t="str">
            <v>Lead Data Engineer</v>
          </cell>
          <cell r="I95">
            <v>276000</v>
          </cell>
          <cell r="N95" t="str">
            <v>Full-Time</v>
          </cell>
          <cell r="O95" t="str">
            <v>Large</v>
          </cell>
          <cell r="Q95" t="str">
            <v>276000 $</v>
          </cell>
          <cell r="R95" t="str">
            <v>United States</v>
          </cell>
          <cell r="S95" t="str">
            <v>United States</v>
          </cell>
          <cell r="Y95" t="str">
            <v>Entry-Level</v>
          </cell>
        </row>
        <row r="96">
          <cell r="B96">
            <v>93</v>
          </cell>
          <cell r="C96">
            <v>2021</v>
          </cell>
          <cell r="F96" t="str">
            <v>Data Scientist</v>
          </cell>
          <cell r="I96">
            <v>29751</v>
          </cell>
          <cell r="N96" t="str">
            <v>Full-Time</v>
          </cell>
          <cell r="O96" t="str">
            <v>Large</v>
          </cell>
          <cell r="Q96" t="str">
            <v>2200000 ₹</v>
          </cell>
          <cell r="R96" t="str">
            <v>India</v>
          </cell>
          <cell r="S96" t="str">
            <v>India</v>
          </cell>
          <cell r="Y96" t="str">
            <v>Mid-Level</v>
          </cell>
        </row>
        <row r="97">
          <cell r="B97">
            <v>94</v>
          </cell>
          <cell r="C97">
            <v>2021</v>
          </cell>
          <cell r="F97" t="str">
            <v>Cloud Data Engineer</v>
          </cell>
          <cell r="I97">
            <v>89294</v>
          </cell>
          <cell r="N97" t="str">
            <v>Full-Time</v>
          </cell>
          <cell r="O97" t="str">
            <v>Large</v>
          </cell>
          <cell r="Q97" t="str">
            <v>120000 S$</v>
          </cell>
          <cell r="R97" t="str">
            <v>Singapore</v>
          </cell>
          <cell r="S97" t="str">
            <v>Singapore</v>
          </cell>
          <cell r="Y97" t="str">
            <v>Entry-Level</v>
          </cell>
        </row>
        <row r="98">
          <cell r="B98">
            <v>95</v>
          </cell>
          <cell r="C98">
            <v>2021</v>
          </cell>
          <cell r="F98" t="str">
            <v>AI Scientist</v>
          </cell>
          <cell r="I98">
            <v>12000</v>
          </cell>
          <cell r="N98" t="str">
            <v>Part-Time</v>
          </cell>
          <cell r="O98" t="str">
            <v>Small</v>
          </cell>
          <cell r="Q98" t="str">
            <v>12000 $</v>
          </cell>
          <cell r="R98" t="str">
            <v>Brazil</v>
          </cell>
          <cell r="S98" t="str">
            <v>United States</v>
          </cell>
          <cell r="Y98" t="str">
            <v>Mid-Level</v>
          </cell>
        </row>
        <row r="99">
          <cell r="B99">
            <v>96</v>
          </cell>
          <cell r="C99">
            <v>2021</v>
          </cell>
          <cell r="F99" t="str">
            <v>Financial Data Analyst</v>
          </cell>
          <cell r="I99">
            <v>450000</v>
          </cell>
          <cell r="N99" t="str">
            <v>Full-Time</v>
          </cell>
          <cell r="O99" t="str">
            <v>Large</v>
          </cell>
          <cell r="Q99" t="str">
            <v>450000 $</v>
          </cell>
          <cell r="R99" t="str">
            <v>United States</v>
          </cell>
          <cell r="S99" t="str">
            <v>United States</v>
          </cell>
          <cell r="Y99" t="str">
            <v>Entry-Level</v>
          </cell>
        </row>
        <row r="100">
          <cell r="B100">
            <v>97</v>
          </cell>
          <cell r="C100">
            <v>2021</v>
          </cell>
          <cell r="F100" t="str">
            <v>Computer Vision Software Engineer</v>
          </cell>
          <cell r="I100">
            <v>70000</v>
          </cell>
          <cell r="N100" t="str">
            <v>Full-Time</v>
          </cell>
          <cell r="O100" t="str">
            <v>Contract</v>
          </cell>
          <cell r="Q100" t="str">
            <v>70000 $</v>
          </cell>
          <cell r="R100" t="str">
            <v>United States</v>
          </cell>
          <cell r="S100" t="str">
            <v>United States</v>
          </cell>
          <cell r="Y100" t="str">
            <v>Mid-Level</v>
          </cell>
        </row>
        <row r="101">
          <cell r="B101">
            <v>98</v>
          </cell>
          <cell r="C101">
            <v>2021</v>
          </cell>
          <cell r="F101" t="str">
            <v>Computer Vision Software Engineer</v>
          </cell>
          <cell r="I101">
            <v>95746</v>
          </cell>
          <cell r="N101" t="str">
            <v>Full-Time</v>
          </cell>
          <cell r="O101" t="str">
            <v>Small</v>
          </cell>
          <cell r="Q101" t="str">
            <v>81000 €</v>
          </cell>
          <cell r="R101" t="str">
            <v>Germany</v>
          </cell>
          <cell r="S101" t="str">
            <v>United States</v>
          </cell>
          <cell r="Y101" t="str">
            <v>Mid-Level</v>
          </cell>
        </row>
        <row r="102">
          <cell r="B102">
            <v>99</v>
          </cell>
          <cell r="C102">
            <v>2021</v>
          </cell>
          <cell r="F102" t="str">
            <v>Data Analyst</v>
          </cell>
          <cell r="I102">
            <v>75000</v>
          </cell>
          <cell r="N102" t="str">
            <v>Full-Time</v>
          </cell>
          <cell r="O102" t="str">
            <v>Large</v>
          </cell>
          <cell r="Q102" t="str">
            <v>75000 $</v>
          </cell>
          <cell r="R102" t="str">
            <v>United States</v>
          </cell>
          <cell r="S102" t="str">
            <v>United States</v>
          </cell>
          <cell r="Y102" t="str">
            <v>Senior-Level</v>
          </cell>
        </row>
        <row r="103">
          <cell r="B103">
            <v>100</v>
          </cell>
          <cell r="C103">
            <v>2021</v>
          </cell>
          <cell r="F103" t="str">
            <v>Data Engineer</v>
          </cell>
          <cell r="I103">
            <v>150000</v>
          </cell>
          <cell r="N103" t="str">
            <v>Full-Time</v>
          </cell>
          <cell r="O103" t="str">
            <v>Large</v>
          </cell>
          <cell r="Q103" t="str">
            <v>150000 $</v>
          </cell>
          <cell r="R103" t="str">
            <v>United States</v>
          </cell>
          <cell r="S103" t="str">
            <v>United States</v>
          </cell>
          <cell r="Y103" t="str">
            <v>Mid-Level</v>
          </cell>
        </row>
        <row r="104">
          <cell r="B104">
            <v>101</v>
          </cell>
          <cell r="C104">
            <v>2021</v>
          </cell>
          <cell r="F104" t="str">
            <v>BI Data Analyst</v>
          </cell>
          <cell r="I104">
            <v>36259</v>
          </cell>
          <cell r="N104" t="str">
            <v>Full-Time</v>
          </cell>
          <cell r="O104" t="str">
            <v>Large</v>
          </cell>
          <cell r="Q104" t="str">
            <v>11000000 Ft</v>
          </cell>
          <cell r="R104" t="str">
            <v>Hungary</v>
          </cell>
          <cell r="S104" t="str">
            <v>United States</v>
          </cell>
          <cell r="Y104" t="str">
            <v>Mid-Level</v>
          </cell>
        </row>
        <row r="105">
          <cell r="B105">
            <v>102</v>
          </cell>
          <cell r="C105">
            <v>2021</v>
          </cell>
          <cell r="F105" t="str">
            <v>Data Analyst</v>
          </cell>
          <cell r="I105">
            <v>62000</v>
          </cell>
          <cell r="N105" t="str">
            <v>Full-Time</v>
          </cell>
          <cell r="O105" t="str">
            <v>Large</v>
          </cell>
          <cell r="Q105" t="str">
            <v>62000 $</v>
          </cell>
          <cell r="R105" t="str">
            <v>United States</v>
          </cell>
          <cell r="S105" t="str">
            <v>United States</v>
          </cell>
          <cell r="Y105" t="str">
            <v>Mid-Level</v>
          </cell>
        </row>
        <row r="106">
          <cell r="B106">
            <v>103</v>
          </cell>
          <cell r="C106">
            <v>2021</v>
          </cell>
          <cell r="F106" t="str">
            <v>Data Scientist</v>
          </cell>
          <cell r="I106">
            <v>73000</v>
          </cell>
          <cell r="N106" t="str">
            <v>Full-Time</v>
          </cell>
          <cell r="O106" t="str">
            <v>Large</v>
          </cell>
          <cell r="Q106" t="str">
            <v>73000 $</v>
          </cell>
          <cell r="R106" t="str">
            <v>United States</v>
          </cell>
          <cell r="S106" t="str">
            <v>United States</v>
          </cell>
          <cell r="Y106" t="str">
            <v>Mid-Level</v>
          </cell>
        </row>
        <row r="107">
          <cell r="B107">
            <v>104</v>
          </cell>
          <cell r="C107">
            <v>2021</v>
          </cell>
          <cell r="F107" t="str">
            <v>Data Analyst</v>
          </cell>
          <cell r="I107">
            <v>51519</v>
          </cell>
          <cell r="N107" t="str">
            <v>Full-Time</v>
          </cell>
          <cell r="O107" t="str">
            <v>Large</v>
          </cell>
          <cell r="Q107" t="str">
            <v>37456 £</v>
          </cell>
          <cell r="R107" t="str">
            <v>United Kingdom</v>
          </cell>
          <cell r="S107" t="str">
            <v>United Kingdom</v>
          </cell>
          <cell r="Y107" t="str">
            <v>Mid-Level</v>
          </cell>
        </row>
        <row r="108">
          <cell r="B108">
            <v>105</v>
          </cell>
          <cell r="C108">
            <v>2021</v>
          </cell>
          <cell r="F108" t="str">
            <v>Research Scientist</v>
          </cell>
          <cell r="I108">
            <v>187442</v>
          </cell>
          <cell r="N108" t="str">
            <v>Full-Time</v>
          </cell>
          <cell r="O108" t="str">
            <v>Large</v>
          </cell>
          <cell r="Q108" t="str">
            <v>235000 C$</v>
          </cell>
          <cell r="R108" t="str">
            <v>Canada</v>
          </cell>
          <cell r="S108" t="str">
            <v>Canada</v>
          </cell>
          <cell r="Y108" t="str">
            <v>Senior-Level</v>
          </cell>
        </row>
        <row r="109">
          <cell r="B109">
            <v>106</v>
          </cell>
          <cell r="C109">
            <v>2021</v>
          </cell>
          <cell r="F109" t="str">
            <v>Data Engineer</v>
          </cell>
          <cell r="I109">
            <v>115000</v>
          </cell>
          <cell r="N109" t="str">
            <v>Full-Time</v>
          </cell>
          <cell r="O109" t="str">
            <v>Small</v>
          </cell>
          <cell r="Q109" t="str">
            <v>115000 $</v>
          </cell>
          <cell r="R109" t="str">
            <v>United States</v>
          </cell>
          <cell r="S109" t="str">
            <v>United States</v>
          </cell>
          <cell r="Y109" t="str">
            <v>Entry-Level</v>
          </cell>
        </row>
        <row r="110">
          <cell r="B110">
            <v>107</v>
          </cell>
          <cell r="C110">
            <v>2021</v>
          </cell>
          <cell r="F110" t="str">
            <v>Data Engineer</v>
          </cell>
          <cell r="I110">
            <v>30428</v>
          </cell>
          <cell r="N110" t="str">
            <v>Full-Time</v>
          </cell>
          <cell r="O110" t="str">
            <v>Large</v>
          </cell>
          <cell r="Q110" t="str">
            <v>2250000 ₹</v>
          </cell>
          <cell r="R110" t="str">
            <v>India</v>
          </cell>
          <cell r="S110" t="str">
            <v>India</v>
          </cell>
          <cell r="Y110" t="str">
            <v>Senior-Level</v>
          </cell>
        </row>
        <row r="111">
          <cell r="B111">
            <v>108</v>
          </cell>
          <cell r="C111">
            <v>2021</v>
          </cell>
          <cell r="F111" t="str">
            <v>Machine Learning Engineer</v>
          </cell>
          <cell r="I111">
            <v>94564</v>
          </cell>
          <cell r="N111" t="str">
            <v>Full-Time</v>
          </cell>
          <cell r="O111" t="str">
            <v>Large</v>
          </cell>
          <cell r="Q111" t="str">
            <v>80000 €</v>
          </cell>
          <cell r="R111" t="str">
            <v>Germany</v>
          </cell>
          <cell r="S111" t="str">
            <v>Germany</v>
          </cell>
          <cell r="Y111" t="str">
            <v>Senior-Level</v>
          </cell>
        </row>
        <row r="112">
          <cell r="B112">
            <v>109</v>
          </cell>
          <cell r="C112">
            <v>2021</v>
          </cell>
          <cell r="F112" t="str">
            <v>Director of Data Engineering</v>
          </cell>
          <cell r="I112">
            <v>113476</v>
          </cell>
          <cell r="N112" t="str">
            <v>Full-Time</v>
          </cell>
          <cell r="O112" t="str">
            <v>Contract</v>
          </cell>
          <cell r="Q112" t="str">
            <v>82500 £</v>
          </cell>
          <cell r="R112" t="str">
            <v>United Kingdom</v>
          </cell>
          <cell r="S112" t="str">
            <v>United Kingdom</v>
          </cell>
          <cell r="Y112" t="str">
            <v>Senior-Level</v>
          </cell>
        </row>
        <row r="113">
          <cell r="B113">
            <v>110</v>
          </cell>
          <cell r="C113">
            <v>2021</v>
          </cell>
          <cell r="F113" t="str">
            <v>Lead Data Engineer</v>
          </cell>
          <cell r="I113">
            <v>103160</v>
          </cell>
          <cell r="N113" t="str">
            <v>Full-Time</v>
          </cell>
          <cell r="O113" t="str">
            <v>Small</v>
          </cell>
          <cell r="Q113" t="str">
            <v>75000 £</v>
          </cell>
          <cell r="R113" t="str">
            <v>United Kingdom</v>
          </cell>
          <cell r="S113" t="str">
            <v>United Kingdom</v>
          </cell>
          <cell r="Y113" t="str">
            <v>Entry-Level</v>
          </cell>
        </row>
        <row r="114">
          <cell r="B114">
            <v>111</v>
          </cell>
          <cell r="C114">
            <v>2021</v>
          </cell>
          <cell r="F114" t="str">
            <v>AI Scientist</v>
          </cell>
          <cell r="I114">
            <v>12000</v>
          </cell>
          <cell r="N114" t="str">
            <v>Part-Time</v>
          </cell>
          <cell r="O114" t="str">
            <v>Contract</v>
          </cell>
          <cell r="Q114" t="str">
            <v>12000 $</v>
          </cell>
          <cell r="R114" t="str">
            <v>Pakistan</v>
          </cell>
          <cell r="S114" t="str">
            <v>United States</v>
          </cell>
          <cell r="Y114" t="str">
            <v>Mid-Level</v>
          </cell>
        </row>
        <row r="115">
          <cell r="B115">
            <v>112</v>
          </cell>
          <cell r="C115">
            <v>2021</v>
          </cell>
          <cell r="F115" t="str">
            <v>Data Engineer</v>
          </cell>
          <cell r="I115">
            <v>45391</v>
          </cell>
          <cell r="N115" t="str">
            <v>Full-Time</v>
          </cell>
          <cell r="O115" t="str">
            <v>Large</v>
          </cell>
          <cell r="Q115" t="str">
            <v>38400 €</v>
          </cell>
          <cell r="R115" t="str">
            <v>Netherlands</v>
          </cell>
          <cell r="S115" t="str">
            <v>Netherlands</v>
          </cell>
          <cell r="Y115" t="str">
            <v>Entry-Level</v>
          </cell>
        </row>
        <row r="116">
          <cell r="B116">
            <v>113</v>
          </cell>
          <cell r="C116">
            <v>2021</v>
          </cell>
          <cell r="F116" t="str">
            <v>Machine Learning Scientist</v>
          </cell>
          <cell r="I116">
            <v>225000</v>
          </cell>
          <cell r="N116" t="str">
            <v>Full-Time</v>
          </cell>
          <cell r="O116" t="str">
            <v>Large</v>
          </cell>
          <cell r="Q116" t="str">
            <v>225000 $</v>
          </cell>
          <cell r="R116" t="str">
            <v>United States</v>
          </cell>
          <cell r="S116" t="str">
            <v>United States</v>
          </cell>
          <cell r="Y116" t="str">
            <v>Mid-Level</v>
          </cell>
        </row>
        <row r="117">
          <cell r="B117">
            <v>114</v>
          </cell>
          <cell r="C117">
            <v>2021</v>
          </cell>
          <cell r="F117" t="str">
            <v>Data Scientist</v>
          </cell>
          <cell r="I117">
            <v>50000</v>
          </cell>
          <cell r="N117" t="str">
            <v>Full-Time</v>
          </cell>
          <cell r="O117" t="str">
            <v>Large</v>
          </cell>
          <cell r="Q117" t="str">
            <v>50000 $</v>
          </cell>
          <cell r="R117" t="str">
            <v>Nigeria</v>
          </cell>
          <cell r="S117" t="str">
            <v>Nigeria</v>
          </cell>
          <cell r="Y117" t="str">
            <v>Mid-Level</v>
          </cell>
        </row>
        <row r="118">
          <cell r="B118">
            <v>115</v>
          </cell>
          <cell r="C118">
            <v>2021</v>
          </cell>
          <cell r="F118" t="str">
            <v>Data Science Engineer</v>
          </cell>
          <cell r="I118">
            <v>40189</v>
          </cell>
          <cell r="N118" t="str">
            <v>Full-Time</v>
          </cell>
          <cell r="O118" t="str">
            <v>Contract</v>
          </cell>
          <cell r="Q118" t="str">
            <v>34000 €</v>
          </cell>
          <cell r="R118" t="str">
            <v>Greece</v>
          </cell>
          <cell r="S118" t="str">
            <v>Greece</v>
          </cell>
          <cell r="Y118" t="str">
            <v>Entry-Level</v>
          </cell>
        </row>
        <row r="119">
          <cell r="B119">
            <v>116</v>
          </cell>
          <cell r="C119">
            <v>2021</v>
          </cell>
          <cell r="F119" t="str">
            <v>Data Analyst</v>
          </cell>
          <cell r="I119">
            <v>90000</v>
          </cell>
          <cell r="N119" t="str">
            <v>Full-Time</v>
          </cell>
          <cell r="O119" t="str">
            <v>Small</v>
          </cell>
          <cell r="Q119" t="str">
            <v>90000 $</v>
          </cell>
          <cell r="R119" t="str">
            <v>United States</v>
          </cell>
          <cell r="S119" t="str">
            <v>United States</v>
          </cell>
          <cell r="Y119" t="str">
            <v>Mid-Level</v>
          </cell>
        </row>
        <row r="120">
          <cell r="B120">
            <v>117</v>
          </cell>
          <cell r="C120">
            <v>2021</v>
          </cell>
          <cell r="F120" t="str">
            <v>Data Engineer</v>
          </cell>
          <cell r="I120">
            <v>200000</v>
          </cell>
          <cell r="N120" t="str">
            <v>Full-Time</v>
          </cell>
          <cell r="O120" t="str">
            <v>Large</v>
          </cell>
          <cell r="Q120" t="str">
            <v>200000 $</v>
          </cell>
          <cell r="R120" t="str">
            <v>United States</v>
          </cell>
          <cell r="S120" t="str">
            <v>United States</v>
          </cell>
          <cell r="Y120" t="str">
            <v>Mid-Level</v>
          </cell>
        </row>
        <row r="121">
          <cell r="B121">
            <v>118</v>
          </cell>
          <cell r="C121">
            <v>2021</v>
          </cell>
          <cell r="F121" t="str">
            <v>Big Data Engineer</v>
          </cell>
          <cell r="I121">
            <v>60000</v>
          </cell>
          <cell r="N121" t="str">
            <v>Full-Time</v>
          </cell>
          <cell r="O121" t="str">
            <v>Contract</v>
          </cell>
          <cell r="Q121" t="str">
            <v>60000 $</v>
          </cell>
          <cell r="R121" t="str">
            <v>Spain</v>
          </cell>
          <cell r="S121" t="str">
            <v>Romania</v>
          </cell>
          <cell r="Y121" t="str">
            <v>Senior-Level</v>
          </cell>
        </row>
        <row r="122">
          <cell r="B122">
            <v>119</v>
          </cell>
          <cell r="C122">
            <v>2021</v>
          </cell>
          <cell r="F122" t="str">
            <v>Principal Data Engineer</v>
          </cell>
          <cell r="I122">
            <v>200000</v>
          </cell>
          <cell r="N122" t="str">
            <v>Full-Time</v>
          </cell>
          <cell r="O122" t="str">
            <v>Contract</v>
          </cell>
          <cell r="Q122" t="str">
            <v>200000 $</v>
          </cell>
          <cell r="R122" t="str">
            <v>United States</v>
          </cell>
          <cell r="S122" t="str">
            <v>United States</v>
          </cell>
          <cell r="Y122" t="str">
            <v>Entry-Level</v>
          </cell>
        </row>
        <row r="123">
          <cell r="B123">
            <v>120</v>
          </cell>
          <cell r="C123">
            <v>2021</v>
          </cell>
          <cell r="F123" t="str">
            <v>Data Analyst</v>
          </cell>
          <cell r="I123">
            <v>50000</v>
          </cell>
          <cell r="N123" t="str">
            <v>Full-Time</v>
          </cell>
          <cell r="O123" t="str">
            <v>Contract</v>
          </cell>
          <cell r="Q123" t="str">
            <v>50000 $</v>
          </cell>
          <cell r="R123" t="str">
            <v>United States</v>
          </cell>
          <cell r="S123" t="str">
            <v>United States</v>
          </cell>
          <cell r="Y123" t="str">
            <v>Entry-Level</v>
          </cell>
        </row>
        <row r="124">
          <cell r="B124">
            <v>121</v>
          </cell>
          <cell r="C124">
            <v>2021</v>
          </cell>
          <cell r="F124" t="str">
            <v>Applied Data Scientist</v>
          </cell>
          <cell r="I124">
            <v>110037</v>
          </cell>
          <cell r="N124" t="str">
            <v>Full-Time</v>
          </cell>
          <cell r="O124" t="str">
            <v>Large</v>
          </cell>
          <cell r="Q124" t="str">
            <v>80000 £</v>
          </cell>
          <cell r="R124" t="str">
            <v>United Kingdom</v>
          </cell>
          <cell r="S124" t="str">
            <v>United Kingdom</v>
          </cell>
          <cell r="Y124" t="str">
            <v>Entry-Level</v>
          </cell>
        </row>
        <row r="125">
          <cell r="B125">
            <v>122</v>
          </cell>
          <cell r="C125">
            <v>2021</v>
          </cell>
          <cell r="F125" t="str">
            <v>Data Analyst</v>
          </cell>
          <cell r="I125">
            <v>10354</v>
          </cell>
          <cell r="N125" t="str">
            <v>Part-Time</v>
          </cell>
          <cell r="O125" t="str">
            <v>Contract</v>
          </cell>
          <cell r="Q125" t="str">
            <v>8760 €</v>
          </cell>
          <cell r="R125" t="str">
            <v>Spain</v>
          </cell>
          <cell r="S125" t="str">
            <v>Spain</v>
          </cell>
          <cell r="Y125" t="str">
            <v>Mid-Level</v>
          </cell>
        </row>
        <row r="126">
          <cell r="B126">
            <v>123</v>
          </cell>
          <cell r="C126">
            <v>2021</v>
          </cell>
          <cell r="F126" t="str">
            <v>Principal Data Scientist</v>
          </cell>
          <cell r="I126">
            <v>151000</v>
          </cell>
          <cell r="N126" t="str">
            <v>Full-Time</v>
          </cell>
          <cell r="O126" t="str">
            <v>Large</v>
          </cell>
          <cell r="Q126" t="str">
            <v>151000 $</v>
          </cell>
          <cell r="R126" t="str">
            <v>United States</v>
          </cell>
          <cell r="S126" t="str">
            <v>United States</v>
          </cell>
          <cell r="Y126" t="str">
            <v>Senior-Level</v>
          </cell>
        </row>
        <row r="127">
          <cell r="B127">
            <v>124</v>
          </cell>
          <cell r="C127">
            <v>2021</v>
          </cell>
          <cell r="F127" t="str">
            <v>Machine Learning Scientist</v>
          </cell>
          <cell r="I127">
            <v>120000</v>
          </cell>
          <cell r="N127" t="str">
            <v>Full-Time</v>
          </cell>
          <cell r="O127" t="str">
            <v>Small</v>
          </cell>
          <cell r="Q127" t="str">
            <v>120000 $</v>
          </cell>
          <cell r="R127" t="str">
            <v>United States</v>
          </cell>
          <cell r="S127" t="str">
            <v>United States</v>
          </cell>
          <cell r="Y127" t="str">
            <v>Mid-Level</v>
          </cell>
        </row>
        <row r="128">
          <cell r="B128">
            <v>125</v>
          </cell>
          <cell r="C128">
            <v>2021</v>
          </cell>
          <cell r="F128" t="str">
            <v>Data Scientist</v>
          </cell>
          <cell r="I128">
            <v>9466</v>
          </cell>
          <cell r="N128" t="str">
            <v>Full-Time</v>
          </cell>
          <cell r="O128" t="str">
            <v>Small</v>
          </cell>
          <cell r="Q128" t="str">
            <v>700000 ₹</v>
          </cell>
          <cell r="R128" t="str">
            <v>India</v>
          </cell>
          <cell r="S128" t="str">
            <v>India</v>
          </cell>
          <cell r="Y128" t="str">
            <v>Entry-Level</v>
          </cell>
        </row>
        <row r="129">
          <cell r="B129">
            <v>126</v>
          </cell>
          <cell r="C129">
            <v>2021</v>
          </cell>
          <cell r="F129" t="str">
            <v>Machine Learning Engineer</v>
          </cell>
          <cell r="I129">
            <v>20000</v>
          </cell>
          <cell r="N129" t="str">
            <v>Full-Time</v>
          </cell>
          <cell r="O129" t="str">
            <v>Small</v>
          </cell>
          <cell r="Q129" t="str">
            <v>20000 $</v>
          </cell>
          <cell r="R129" t="str">
            <v>India</v>
          </cell>
          <cell r="S129" t="str">
            <v>India</v>
          </cell>
          <cell r="Y129" t="str">
            <v>Senior-Level</v>
          </cell>
        </row>
        <row r="130">
          <cell r="B130">
            <v>127</v>
          </cell>
          <cell r="C130">
            <v>2021</v>
          </cell>
          <cell r="F130" t="str">
            <v>Lead Data Scientist</v>
          </cell>
          <cell r="I130">
            <v>40570</v>
          </cell>
          <cell r="N130" t="str">
            <v>Full-Time</v>
          </cell>
          <cell r="O130" t="str">
            <v>Large</v>
          </cell>
          <cell r="Q130" t="str">
            <v>3000000 ₹</v>
          </cell>
          <cell r="R130" t="str">
            <v>India</v>
          </cell>
          <cell r="S130" t="str">
            <v>India</v>
          </cell>
          <cell r="Y130" t="str">
            <v>Entry-Level</v>
          </cell>
        </row>
        <row r="131">
          <cell r="B131">
            <v>128</v>
          </cell>
          <cell r="C131">
            <v>2021</v>
          </cell>
          <cell r="F131" t="str">
            <v>Machine Learning Developer</v>
          </cell>
          <cell r="I131">
            <v>100000</v>
          </cell>
          <cell r="N131" t="str">
            <v>Full-Time</v>
          </cell>
          <cell r="O131" t="str">
            <v>Small</v>
          </cell>
          <cell r="Q131" t="str">
            <v>100000 $</v>
          </cell>
          <cell r="R131" t="str">
            <v>Iraq</v>
          </cell>
          <cell r="S131" t="str">
            <v>Iraq</v>
          </cell>
          <cell r="Y131" t="str">
            <v>Entry-Level</v>
          </cell>
        </row>
        <row r="132">
          <cell r="B132">
            <v>129</v>
          </cell>
          <cell r="C132">
            <v>2021</v>
          </cell>
          <cell r="F132" t="str">
            <v>Data Scientist</v>
          </cell>
          <cell r="I132">
            <v>49646</v>
          </cell>
          <cell r="N132" t="str">
            <v>Full-Time</v>
          </cell>
          <cell r="O132" t="str">
            <v>Contract</v>
          </cell>
          <cell r="Q132" t="str">
            <v>42000 €</v>
          </cell>
          <cell r="R132" t="str">
            <v>France</v>
          </cell>
          <cell r="S132" t="str">
            <v>France</v>
          </cell>
          <cell r="Y132" t="str">
            <v>Mid-Level</v>
          </cell>
        </row>
        <row r="133">
          <cell r="B133">
            <v>130</v>
          </cell>
          <cell r="C133">
            <v>2021</v>
          </cell>
          <cell r="F133" t="str">
            <v>Applied Machine Learning Scientist</v>
          </cell>
          <cell r="I133">
            <v>38400</v>
          </cell>
          <cell r="N133" t="str">
            <v>Full-Time</v>
          </cell>
          <cell r="O133" t="str">
            <v>Contract</v>
          </cell>
          <cell r="Q133" t="str">
            <v>38400 $</v>
          </cell>
          <cell r="R133" t="str">
            <v>Vietnam</v>
          </cell>
          <cell r="S133" t="str">
            <v>United States</v>
          </cell>
          <cell r="Y133" t="str">
            <v>Senior-Level</v>
          </cell>
        </row>
        <row r="134">
          <cell r="B134">
            <v>131</v>
          </cell>
          <cell r="C134">
            <v>2021</v>
          </cell>
          <cell r="F134" t="str">
            <v>Computer Vision Engineer</v>
          </cell>
          <cell r="I134">
            <v>24000</v>
          </cell>
          <cell r="N134" t="str">
            <v>Full-Time</v>
          </cell>
          <cell r="O134" t="str">
            <v>Contract</v>
          </cell>
          <cell r="Q134" t="str">
            <v>24000 $</v>
          </cell>
          <cell r="R134" t="str">
            <v>Brazil</v>
          </cell>
          <cell r="S134" t="str">
            <v>Brazil</v>
          </cell>
          <cell r="Y134" t="str">
            <v>Entry-Level</v>
          </cell>
        </row>
        <row r="135">
          <cell r="B135">
            <v>132</v>
          </cell>
          <cell r="C135">
            <v>2021</v>
          </cell>
          <cell r="F135" t="str">
            <v>Data Scientist</v>
          </cell>
          <cell r="I135">
            <v>100000</v>
          </cell>
          <cell r="N135" t="str">
            <v>Full-Time</v>
          </cell>
          <cell r="O135" t="str">
            <v>Small</v>
          </cell>
          <cell r="Q135" t="str">
            <v>100000 $</v>
          </cell>
          <cell r="R135" t="str">
            <v>United States</v>
          </cell>
          <cell r="S135" t="str">
            <v>United States</v>
          </cell>
          <cell r="Y135" t="str">
            <v>Mid-Level</v>
          </cell>
        </row>
        <row r="136">
          <cell r="B136">
            <v>133</v>
          </cell>
          <cell r="C136">
            <v>2021</v>
          </cell>
          <cell r="F136" t="str">
            <v>ML Engineer</v>
          </cell>
          <cell r="I136">
            <v>63711</v>
          </cell>
          <cell r="N136" t="str">
            <v>Full-Time</v>
          </cell>
          <cell r="O136" t="str">
            <v>Small</v>
          </cell>
          <cell r="Q136" t="str">
            <v>7000000 ¥</v>
          </cell>
          <cell r="R136" t="str">
            <v>Japan</v>
          </cell>
          <cell r="S136" t="str">
            <v>Japan</v>
          </cell>
          <cell r="Y136" t="str">
            <v>Mid-Level</v>
          </cell>
        </row>
        <row r="137">
          <cell r="B137">
            <v>134</v>
          </cell>
          <cell r="C137">
            <v>2021</v>
          </cell>
          <cell r="F137" t="str">
            <v>ML Engineer</v>
          </cell>
          <cell r="I137">
            <v>77364</v>
          </cell>
          <cell r="N137" t="str">
            <v>Full-Time</v>
          </cell>
          <cell r="O137" t="str">
            <v>Small</v>
          </cell>
          <cell r="Q137" t="str">
            <v>8500000 ¥</v>
          </cell>
          <cell r="R137" t="str">
            <v>Japan</v>
          </cell>
          <cell r="S137" t="str">
            <v>Japan</v>
          </cell>
          <cell r="Y137" t="str">
            <v>Senior-Level</v>
          </cell>
        </row>
        <row r="138">
          <cell r="B138">
            <v>135</v>
          </cell>
          <cell r="C138">
            <v>2021</v>
          </cell>
          <cell r="F138" t="str">
            <v>Principal Data Scientist</v>
          </cell>
          <cell r="I138">
            <v>220000</v>
          </cell>
          <cell r="N138" t="str">
            <v>Full-Time</v>
          </cell>
          <cell r="O138" t="str">
            <v>Large</v>
          </cell>
          <cell r="Q138" t="str">
            <v>220000 $</v>
          </cell>
          <cell r="R138" t="str">
            <v>United States</v>
          </cell>
          <cell r="S138" t="str">
            <v>United States</v>
          </cell>
          <cell r="Y138" t="str">
            <v>Entry-Level</v>
          </cell>
        </row>
        <row r="139">
          <cell r="B139">
            <v>136</v>
          </cell>
          <cell r="C139">
            <v>2021</v>
          </cell>
          <cell r="F139" t="str">
            <v>Data Scientist</v>
          </cell>
          <cell r="I139">
            <v>80000</v>
          </cell>
          <cell r="N139" t="str">
            <v>Full-Time</v>
          </cell>
          <cell r="O139" t="str">
            <v>Contract</v>
          </cell>
          <cell r="Q139" t="str">
            <v>80000 $</v>
          </cell>
          <cell r="R139" t="str">
            <v>United States</v>
          </cell>
          <cell r="S139" t="str">
            <v>United States</v>
          </cell>
          <cell r="Y139" t="str">
            <v>Mid-Level</v>
          </cell>
        </row>
        <row r="140">
          <cell r="B140">
            <v>137</v>
          </cell>
          <cell r="C140">
            <v>2021</v>
          </cell>
          <cell r="F140" t="str">
            <v>Data Analyst</v>
          </cell>
          <cell r="I140">
            <v>135000</v>
          </cell>
          <cell r="N140" t="str">
            <v>Full-Time</v>
          </cell>
          <cell r="O140" t="str">
            <v>Large</v>
          </cell>
          <cell r="Q140" t="str">
            <v>135000 $</v>
          </cell>
          <cell r="R140" t="str">
            <v>United States</v>
          </cell>
          <cell r="S140" t="str">
            <v>United States</v>
          </cell>
          <cell r="Y140" t="str">
            <v>Senior-Level</v>
          </cell>
        </row>
        <row r="141">
          <cell r="B141">
            <v>138</v>
          </cell>
          <cell r="C141">
            <v>2021</v>
          </cell>
          <cell r="F141" t="str">
            <v>Data Science Manager</v>
          </cell>
          <cell r="I141">
            <v>240000</v>
          </cell>
          <cell r="N141" t="str">
            <v>Full-Time</v>
          </cell>
          <cell r="O141" t="str">
            <v>Large</v>
          </cell>
          <cell r="Q141" t="str">
            <v>240000 $</v>
          </cell>
          <cell r="R141" t="str">
            <v>United States</v>
          </cell>
          <cell r="S141" t="str">
            <v>United States</v>
          </cell>
          <cell r="Y141" t="str">
            <v>Senior-Level</v>
          </cell>
        </row>
        <row r="142">
          <cell r="B142">
            <v>139</v>
          </cell>
          <cell r="C142">
            <v>2021</v>
          </cell>
          <cell r="F142" t="str">
            <v>Data Engineering Manager</v>
          </cell>
          <cell r="I142">
            <v>150000</v>
          </cell>
          <cell r="N142" t="str">
            <v>Full-Time</v>
          </cell>
          <cell r="O142" t="str">
            <v>Large</v>
          </cell>
          <cell r="Q142" t="str">
            <v>150000 $</v>
          </cell>
          <cell r="R142" t="str">
            <v>United States</v>
          </cell>
          <cell r="S142" t="str">
            <v>United States</v>
          </cell>
          <cell r="Y142" t="str">
            <v>Mid-Level</v>
          </cell>
        </row>
        <row r="143">
          <cell r="B143">
            <v>140</v>
          </cell>
          <cell r="C143">
            <v>2021</v>
          </cell>
          <cell r="F143" t="str">
            <v>Data Scientist</v>
          </cell>
          <cell r="I143">
            <v>82500</v>
          </cell>
          <cell r="N143" t="str">
            <v>Full-Time</v>
          </cell>
          <cell r="O143" t="str">
            <v>Small</v>
          </cell>
          <cell r="Q143" t="str">
            <v>82500 $</v>
          </cell>
          <cell r="R143" t="str">
            <v>United States</v>
          </cell>
          <cell r="S143" t="str">
            <v>United States</v>
          </cell>
          <cell r="Y143" t="str">
            <v>Mid-Level</v>
          </cell>
        </row>
        <row r="144">
          <cell r="B144">
            <v>141</v>
          </cell>
          <cell r="C144">
            <v>2021</v>
          </cell>
          <cell r="F144" t="str">
            <v>Data Engineer</v>
          </cell>
          <cell r="I144">
            <v>100000</v>
          </cell>
          <cell r="N144" t="str">
            <v>Full-Time</v>
          </cell>
          <cell r="O144" t="str">
            <v>Large</v>
          </cell>
          <cell r="Q144" t="str">
            <v>100000 $</v>
          </cell>
          <cell r="R144" t="str">
            <v>United States</v>
          </cell>
          <cell r="S144" t="str">
            <v>United States</v>
          </cell>
          <cell r="Y144" t="str">
            <v>Senior-Level</v>
          </cell>
        </row>
        <row r="145">
          <cell r="B145">
            <v>142</v>
          </cell>
          <cell r="C145">
            <v>2021</v>
          </cell>
          <cell r="F145" t="str">
            <v>Machine Learning Engineer</v>
          </cell>
          <cell r="I145">
            <v>82744</v>
          </cell>
          <cell r="N145" t="str">
            <v>Full-Time</v>
          </cell>
          <cell r="O145" t="str">
            <v>Contract</v>
          </cell>
          <cell r="Q145" t="str">
            <v>70000 €</v>
          </cell>
          <cell r="R145" t="str">
            <v>Belgium</v>
          </cell>
          <cell r="S145" t="str">
            <v>Belgium</v>
          </cell>
          <cell r="Y145" t="str">
            <v>Mid-Level</v>
          </cell>
        </row>
        <row r="146">
          <cell r="B146">
            <v>143</v>
          </cell>
          <cell r="C146">
            <v>2021</v>
          </cell>
          <cell r="F146" t="str">
            <v>Research Scientist</v>
          </cell>
          <cell r="I146">
            <v>62649</v>
          </cell>
          <cell r="N146" t="str">
            <v>Full-Time</v>
          </cell>
          <cell r="O146" t="str">
            <v>Contract</v>
          </cell>
          <cell r="Q146" t="str">
            <v>53000 €</v>
          </cell>
          <cell r="R146" t="str">
            <v>France</v>
          </cell>
          <cell r="S146" t="str">
            <v>France</v>
          </cell>
          <cell r="Y146" t="str">
            <v>Mid-Level</v>
          </cell>
        </row>
        <row r="147">
          <cell r="B147">
            <v>144</v>
          </cell>
          <cell r="C147">
            <v>2021</v>
          </cell>
          <cell r="F147" t="str">
            <v>Data Engineer</v>
          </cell>
          <cell r="I147">
            <v>90000</v>
          </cell>
          <cell r="N147" t="str">
            <v>Full-Time</v>
          </cell>
          <cell r="O147" t="str">
            <v>Large</v>
          </cell>
          <cell r="Q147" t="str">
            <v>90000 $</v>
          </cell>
          <cell r="R147" t="str">
            <v>United States</v>
          </cell>
          <cell r="S147" t="str">
            <v>United States</v>
          </cell>
          <cell r="Y147" t="str">
            <v>Senior-Level</v>
          </cell>
        </row>
        <row r="148">
          <cell r="B148">
            <v>145</v>
          </cell>
          <cell r="C148">
            <v>2021</v>
          </cell>
          <cell r="F148" t="str">
            <v>Data Engineering Manager</v>
          </cell>
          <cell r="I148">
            <v>153000</v>
          </cell>
          <cell r="N148" t="str">
            <v>Full-Time</v>
          </cell>
          <cell r="O148" t="str">
            <v>Large</v>
          </cell>
          <cell r="Q148" t="str">
            <v>153000 $</v>
          </cell>
          <cell r="R148" t="str">
            <v>United States</v>
          </cell>
          <cell r="S148" t="str">
            <v>United States</v>
          </cell>
          <cell r="Y148" t="str">
            <v>Senior-Level</v>
          </cell>
        </row>
        <row r="149">
          <cell r="B149">
            <v>146</v>
          </cell>
          <cell r="C149">
            <v>2021</v>
          </cell>
          <cell r="F149" t="str">
            <v>Cloud Data Engineer</v>
          </cell>
          <cell r="I149">
            <v>160000</v>
          </cell>
          <cell r="N149" t="str">
            <v>Full-Time</v>
          </cell>
          <cell r="O149" t="str">
            <v>Small</v>
          </cell>
          <cell r="Q149" t="str">
            <v>160000 $</v>
          </cell>
          <cell r="R149" t="str">
            <v>Brazil</v>
          </cell>
          <cell r="S149" t="str">
            <v>United States</v>
          </cell>
          <cell r="Y149" t="str">
            <v>Senior-Level</v>
          </cell>
        </row>
        <row r="150">
          <cell r="B150">
            <v>147</v>
          </cell>
          <cell r="C150">
            <v>2021</v>
          </cell>
          <cell r="F150" t="str">
            <v>Director of Data Science</v>
          </cell>
          <cell r="I150">
            <v>168000</v>
          </cell>
          <cell r="N150" t="str">
            <v>Full-Time</v>
          </cell>
          <cell r="O150" t="str">
            <v>Small</v>
          </cell>
          <cell r="Q150" t="str">
            <v>168000 $</v>
          </cell>
          <cell r="R150" t="str">
            <v>Japan</v>
          </cell>
          <cell r="S150" t="str">
            <v>Japan</v>
          </cell>
          <cell r="Y150" t="str">
            <v>Mid-Level</v>
          </cell>
        </row>
        <row r="151">
          <cell r="B151">
            <v>148</v>
          </cell>
          <cell r="C151">
            <v>2021</v>
          </cell>
          <cell r="F151" t="str">
            <v>Data Scientist</v>
          </cell>
          <cell r="I151">
            <v>150000</v>
          </cell>
          <cell r="N151" t="str">
            <v>Full-Time</v>
          </cell>
          <cell r="O151" t="str">
            <v>Contract</v>
          </cell>
          <cell r="Q151" t="str">
            <v>150000 $</v>
          </cell>
          <cell r="R151" t="str">
            <v>United States</v>
          </cell>
          <cell r="S151" t="str">
            <v>United States</v>
          </cell>
          <cell r="Y151" t="str">
            <v>Mid-Level</v>
          </cell>
        </row>
        <row r="152">
          <cell r="B152">
            <v>149</v>
          </cell>
          <cell r="C152">
            <v>2021</v>
          </cell>
          <cell r="F152" t="str">
            <v>Data Scientist</v>
          </cell>
          <cell r="I152">
            <v>75774</v>
          </cell>
          <cell r="N152" t="str">
            <v>Full-Time</v>
          </cell>
          <cell r="O152" t="str">
            <v>Large</v>
          </cell>
          <cell r="Q152" t="str">
            <v>95000 C$</v>
          </cell>
          <cell r="R152" t="str">
            <v>Canada</v>
          </cell>
          <cell r="S152" t="str">
            <v>Canada</v>
          </cell>
          <cell r="Y152" t="str">
            <v>Entry-Level</v>
          </cell>
        </row>
        <row r="153">
          <cell r="B153">
            <v>150</v>
          </cell>
          <cell r="C153">
            <v>2021</v>
          </cell>
          <cell r="F153" t="str">
            <v>Data Scientist</v>
          </cell>
          <cell r="I153">
            <v>13400</v>
          </cell>
          <cell r="N153" t="str">
            <v>Full-Time</v>
          </cell>
          <cell r="O153" t="str">
            <v>Large</v>
          </cell>
          <cell r="Q153" t="str">
            <v>13400 $</v>
          </cell>
          <cell r="R153" t="str">
            <v>Ukraine</v>
          </cell>
          <cell r="S153" t="str">
            <v>Ukraine</v>
          </cell>
          <cell r="Y153" t="str">
            <v>Senior-Level</v>
          </cell>
        </row>
        <row r="154">
          <cell r="B154">
            <v>151</v>
          </cell>
          <cell r="C154">
            <v>2021</v>
          </cell>
          <cell r="F154" t="str">
            <v>Data Science Manager</v>
          </cell>
          <cell r="I154">
            <v>144000</v>
          </cell>
          <cell r="N154" t="str">
            <v>Full-Time</v>
          </cell>
          <cell r="O154" t="str">
            <v>Large</v>
          </cell>
          <cell r="Q154" t="str">
            <v>144000 $</v>
          </cell>
          <cell r="R154" t="str">
            <v>United States</v>
          </cell>
          <cell r="S154" t="str">
            <v>United States</v>
          </cell>
          <cell r="Y154" t="str">
            <v>Senior-Level</v>
          </cell>
        </row>
        <row r="155">
          <cell r="B155">
            <v>152</v>
          </cell>
          <cell r="C155">
            <v>2021</v>
          </cell>
          <cell r="F155" t="str">
            <v>Data Science Engineer</v>
          </cell>
          <cell r="I155">
            <v>127221</v>
          </cell>
          <cell r="N155" t="str">
            <v>Full-Time</v>
          </cell>
          <cell r="O155" t="str">
            <v>Large</v>
          </cell>
          <cell r="Q155" t="str">
            <v>159500 C$</v>
          </cell>
          <cell r="R155" t="str">
            <v>Canada</v>
          </cell>
          <cell r="S155" t="str">
            <v>Canada</v>
          </cell>
          <cell r="Y155" t="str">
            <v>Mid-Level</v>
          </cell>
        </row>
        <row r="156">
          <cell r="B156">
            <v>153</v>
          </cell>
          <cell r="C156">
            <v>2021</v>
          </cell>
          <cell r="F156" t="str">
            <v>Data Scientist</v>
          </cell>
          <cell r="I156">
            <v>119059</v>
          </cell>
          <cell r="N156" t="str">
            <v>Full-Time</v>
          </cell>
          <cell r="O156" t="str">
            <v>Contract</v>
          </cell>
          <cell r="Q156" t="str">
            <v>160000 S$</v>
          </cell>
          <cell r="R156" t="str">
            <v>Singapore</v>
          </cell>
          <cell r="S156" t="str">
            <v>Israel</v>
          </cell>
          <cell r="Y156" t="str">
            <v>Mid-Level</v>
          </cell>
        </row>
        <row r="157">
          <cell r="B157">
            <v>154</v>
          </cell>
          <cell r="C157">
            <v>2021</v>
          </cell>
          <cell r="F157" t="str">
            <v>Applied Machine Learning Scientist</v>
          </cell>
          <cell r="I157">
            <v>423000</v>
          </cell>
          <cell r="N157" t="str">
            <v>Full-Time</v>
          </cell>
          <cell r="O157" t="str">
            <v>Large</v>
          </cell>
          <cell r="Q157" t="str">
            <v>423000 $</v>
          </cell>
          <cell r="R157" t="str">
            <v>United States</v>
          </cell>
          <cell r="S157" t="str">
            <v>United States</v>
          </cell>
          <cell r="Y157" t="str">
            <v>Senior-Level</v>
          </cell>
        </row>
        <row r="158">
          <cell r="B158">
            <v>155</v>
          </cell>
          <cell r="C158">
            <v>2021</v>
          </cell>
          <cell r="F158" t="str">
            <v>Data Analytics Manager</v>
          </cell>
          <cell r="I158">
            <v>120000</v>
          </cell>
          <cell r="N158" t="str">
            <v>Full-Time</v>
          </cell>
          <cell r="O158" t="str">
            <v>Contract</v>
          </cell>
          <cell r="Q158" t="str">
            <v>120000 $</v>
          </cell>
          <cell r="R158" t="str">
            <v>United States</v>
          </cell>
          <cell r="S158" t="str">
            <v>United States</v>
          </cell>
          <cell r="Y158" t="str">
            <v>Entry-Level</v>
          </cell>
        </row>
        <row r="159">
          <cell r="B159">
            <v>156</v>
          </cell>
          <cell r="C159">
            <v>2021</v>
          </cell>
          <cell r="F159" t="str">
            <v>Machine Learning Engineer</v>
          </cell>
          <cell r="I159">
            <v>125000</v>
          </cell>
          <cell r="N159" t="str">
            <v>Full-Time</v>
          </cell>
          <cell r="O159" t="str">
            <v>Small</v>
          </cell>
          <cell r="Q159" t="str">
            <v>125000 $</v>
          </cell>
          <cell r="R159" t="str">
            <v>United States</v>
          </cell>
          <cell r="S159" t="str">
            <v>United States</v>
          </cell>
          <cell r="Y159" t="str">
            <v>Executive</v>
          </cell>
        </row>
        <row r="160">
          <cell r="B160">
            <v>157</v>
          </cell>
          <cell r="C160">
            <v>2021</v>
          </cell>
          <cell r="F160" t="str">
            <v>Head of Data</v>
          </cell>
          <cell r="I160">
            <v>230000</v>
          </cell>
          <cell r="N160" t="str">
            <v>Full-Time</v>
          </cell>
          <cell r="O160" t="str">
            <v>Large</v>
          </cell>
          <cell r="Q160" t="str">
            <v>230000 $</v>
          </cell>
          <cell r="R160" t="str">
            <v>Russia</v>
          </cell>
          <cell r="S160" t="str">
            <v>Russia</v>
          </cell>
          <cell r="Y160" t="str">
            <v>Executive</v>
          </cell>
        </row>
        <row r="161">
          <cell r="B161">
            <v>158</v>
          </cell>
          <cell r="C161">
            <v>2021</v>
          </cell>
          <cell r="F161" t="str">
            <v>Head of Data Science</v>
          </cell>
          <cell r="I161">
            <v>85000</v>
          </cell>
          <cell r="N161" t="str">
            <v>Full-Time</v>
          </cell>
          <cell r="O161" t="str">
            <v>Contract</v>
          </cell>
          <cell r="Q161" t="str">
            <v>85000 $</v>
          </cell>
          <cell r="R161" t="str">
            <v>Russia</v>
          </cell>
          <cell r="S161" t="str">
            <v>Russia</v>
          </cell>
          <cell r="Y161" t="str">
            <v>Mid-Level</v>
          </cell>
        </row>
        <row r="162">
          <cell r="B162">
            <v>159</v>
          </cell>
          <cell r="C162">
            <v>2021</v>
          </cell>
          <cell r="F162" t="str">
            <v>Data Engineer</v>
          </cell>
          <cell r="I162">
            <v>28369</v>
          </cell>
          <cell r="N162" t="str">
            <v>Full-Time</v>
          </cell>
          <cell r="O162" t="str">
            <v>Large</v>
          </cell>
          <cell r="Q162" t="str">
            <v>24000 €</v>
          </cell>
          <cell r="R162" t="str">
            <v>Malta</v>
          </cell>
          <cell r="S162" t="str">
            <v>Malta</v>
          </cell>
          <cell r="Y162" t="str">
            <v>Entry-Level</v>
          </cell>
        </row>
        <row r="163">
          <cell r="B163">
            <v>160</v>
          </cell>
          <cell r="C163">
            <v>2021</v>
          </cell>
          <cell r="F163" t="str">
            <v>Data Science Consultant</v>
          </cell>
          <cell r="I163">
            <v>63831</v>
          </cell>
          <cell r="N163" t="str">
            <v>Full-Time</v>
          </cell>
          <cell r="O163" t="str">
            <v>Large</v>
          </cell>
          <cell r="Q163" t="str">
            <v>54000 €</v>
          </cell>
          <cell r="R163" t="str">
            <v>Germany</v>
          </cell>
          <cell r="S163" t="str">
            <v>Germany</v>
          </cell>
          <cell r="Y163" t="str">
            <v>Executive</v>
          </cell>
        </row>
        <row r="164">
          <cell r="B164">
            <v>161</v>
          </cell>
          <cell r="C164">
            <v>2021</v>
          </cell>
          <cell r="F164" t="str">
            <v>Director of Data Science</v>
          </cell>
          <cell r="I164">
            <v>130026</v>
          </cell>
          <cell r="N164" t="str">
            <v>Full-Time</v>
          </cell>
          <cell r="O164" t="str">
            <v>Contract</v>
          </cell>
          <cell r="Q164" t="str">
            <v>110000 €</v>
          </cell>
          <cell r="R164" t="str">
            <v>Germany</v>
          </cell>
          <cell r="S164" t="str">
            <v>Germany</v>
          </cell>
          <cell r="Y164" t="str">
            <v>Senior-Level</v>
          </cell>
        </row>
        <row r="165">
          <cell r="B165">
            <v>162</v>
          </cell>
          <cell r="C165">
            <v>2021</v>
          </cell>
          <cell r="F165" t="str">
            <v>Data Specialist</v>
          </cell>
          <cell r="I165">
            <v>165000</v>
          </cell>
          <cell r="N165" t="str">
            <v>Full-Time</v>
          </cell>
          <cell r="O165" t="str">
            <v>Large</v>
          </cell>
          <cell r="Q165" t="str">
            <v>165000 $</v>
          </cell>
          <cell r="R165" t="str">
            <v>United States</v>
          </cell>
          <cell r="S165" t="str">
            <v>United States</v>
          </cell>
          <cell r="Y165" t="str">
            <v>Entry-Level</v>
          </cell>
        </row>
        <row r="166">
          <cell r="B166">
            <v>163</v>
          </cell>
          <cell r="C166">
            <v>2021</v>
          </cell>
          <cell r="F166" t="str">
            <v>Data Engineer</v>
          </cell>
          <cell r="I166">
            <v>80000</v>
          </cell>
          <cell r="N166" t="str">
            <v>Full-Time</v>
          </cell>
          <cell r="O166" t="str">
            <v>Large</v>
          </cell>
          <cell r="Q166" t="str">
            <v>80000 $</v>
          </cell>
          <cell r="R166" t="str">
            <v>United States</v>
          </cell>
          <cell r="S166" t="str">
            <v>United States</v>
          </cell>
          <cell r="Y166" t="str">
            <v>Executive</v>
          </cell>
        </row>
        <row r="167">
          <cell r="B167">
            <v>164</v>
          </cell>
          <cell r="C167">
            <v>2021</v>
          </cell>
          <cell r="F167" t="str">
            <v>Director of Data Science</v>
          </cell>
          <cell r="I167">
            <v>250000</v>
          </cell>
          <cell r="N167" t="str">
            <v>Full-Time</v>
          </cell>
          <cell r="O167" t="str">
            <v>Large</v>
          </cell>
          <cell r="Q167" t="str">
            <v>250000 $</v>
          </cell>
          <cell r="R167" t="str">
            <v>United States</v>
          </cell>
          <cell r="S167" t="str">
            <v>United States</v>
          </cell>
          <cell r="Y167" t="str">
            <v>Entry-Level</v>
          </cell>
        </row>
        <row r="168">
          <cell r="B168">
            <v>165</v>
          </cell>
          <cell r="C168">
            <v>2021</v>
          </cell>
          <cell r="F168" t="str">
            <v>BI Data Analyst</v>
          </cell>
          <cell r="I168">
            <v>55000</v>
          </cell>
          <cell r="N168" t="str">
            <v>Full-Time</v>
          </cell>
          <cell r="O168" t="str">
            <v>Small</v>
          </cell>
          <cell r="Q168" t="str">
            <v>55000 $</v>
          </cell>
          <cell r="R168" t="str">
            <v>United States</v>
          </cell>
          <cell r="S168" t="str">
            <v>United States</v>
          </cell>
          <cell r="Y168" t="str">
            <v>Mid-Level</v>
          </cell>
        </row>
        <row r="169">
          <cell r="B169">
            <v>166</v>
          </cell>
          <cell r="C169">
            <v>2021</v>
          </cell>
          <cell r="F169" t="str">
            <v>Data Architect</v>
          </cell>
          <cell r="I169">
            <v>150000</v>
          </cell>
          <cell r="N169" t="str">
            <v>Full-Time</v>
          </cell>
          <cell r="O169" t="str">
            <v>Large</v>
          </cell>
          <cell r="Q169" t="str">
            <v>150000 $</v>
          </cell>
          <cell r="R169" t="str">
            <v>United States</v>
          </cell>
          <cell r="S169" t="str">
            <v>United States</v>
          </cell>
          <cell r="Y169" t="str">
            <v>Mid-Level</v>
          </cell>
        </row>
        <row r="170">
          <cell r="B170">
            <v>167</v>
          </cell>
          <cell r="C170">
            <v>2021</v>
          </cell>
          <cell r="F170" t="str">
            <v>Data Architect</v>
          </cell>
          <cell r="I170">
            <v>170000</v>
          </cell>
          <cell r="N170" t="str">
            <v>Full-Time</v>
          </cell>
          <cell r="O170" t="str">
            <v>Large</v>
          </cell>
          <cell r="Q170" t="str">
            <v>170000 $</v>
          </cell>
          <cell r="R170" t="str">
            <v>United States</v>
          </cell>
          <cell r="S170" t="str">
            <v>United States</v>
          </cell>
          <cell r="Y170" t="str">
            <v>Mid-Level</v>
          </cell>
        </row>
        <row r="171">
          <cell r="B171">
            <v>168</v>
          </cell>
          <cell r="C171">
            <v>2021</v>
          </cell>
          <cell r="F171" t="str">
            <v>Data Engineer</v>
          </cell>
          <cell r="I171">
            <v>82528</v>
          </cell>
          <cell r="N171" t="str">
            <v>Full-Time</v>
          </cell>
          <cell r="O171" t="str">
            <v>Large</v>
          </cell>
          <cell r="Q171" t="str">
            <v>60000 £</v>
          </cell>
          <cell r="R171" t="str">
            <v>United Kingdom</v>
          </cell>
          <cell r="S171" t="str">
            <v>United Kingdom</v>
          </cell>
          <cell r="Y171" t="str">
            <v>Entry-Level</v>
          </cell>
        </row>
        <row r="172">
          <cell r="B172">
            <v>169</v>
          </cell>
          <cell r="C172">
            <v>2021</v>
          </cell>
          <cell r="F172" t="str">
            <v>Data Analyst</v>
          </cell>
          <cell r="I172">
            <v>60000</v>
          </cell>
          <cell r="N172" t="str">
            <v>Full-Time</v>
          </cell>
          <cell r="O172" t="str">
            <v>Small</v>
          </cell>
          <cell r="Q172" t="str">
            <v>60000 $</v>
          </cell>
          <cell r="R172" t="str">
            <v>United States</v>
          </cell>
          <cell r="S172" t="str">
            <v>United States</v>
          </cell>
          <cell r="Y172" t="str">
            <v>Senior-Level</v>
          </cell>
        </row>
        <row r="173">
          <cell r="B173">
            <v>170</v>
          </cell>
          <cell r="C173">
            <v>2021</v>
          </cell>
          <cell r="F173" t="str">
            <v>Principal Data Scientist</v>
          </cell>
          <cell r="I173">
            <v>235000</v>
          </cell>
          <cell r="N173" t="str">
            <v>Full-Time</v>
          </cell>
          <cell r="O173" t="str">
            <v>Large</v>
          </cell>
          <cell r="Q173" t="str">
            <v>235000 $</v>
          </cell>
          <cell r="R173" t="str">
            <v>United States</v>
          </cell>
          <cell r="S173" t="str">
            <v>United States</v>
          </cell>
          <cell r="Y173" t="str">
            <v>Senior-Level</v>
          </cell>
        </row>
        <row r="174">
          <cell r="B174">
            <v>171</v>
          </cell>
          <cell r="C174">
            <v>2021</v>
          </cell>
          <cell r="F174" t="str">
            <v>Research Scientist</v>
          </cell>
          <cell r="I174">
            <v>60757</v>
          </cell>
          <cell r="N174" t="str">
            <v>Full-Time</v>
          </cell>
          <cell r="O174" t="str">
            <v>Large</v>
          </cell>
          <cell r="Q174" t="str">
            <v>51400 €</v>
          </cell>
          <cell r="R174" t="str">
            <v>Portugal</v>
          </cell>
          <cell r="S174" t="str">
            <v>Portugal</v>
          </cell>
          <cell r="Y174" t="str">
            <v>Senior-Level</v>
          </cell>
        </row>
        <row r="175">
          <cell r="B175">
            <v>172</v>
          </cell>
          <cell r="C175">
            <v>2021</v>
          </cell>
          <cell r="F175" t="str">
            <v>Data Engineering Manager</v>
          </cell>
          <cell r="I175">
            <v>174000</v>
          </cell>
          <cell r="N175" t="str">
            <v>Full-Time</v>
          </cell>
          <cell r="O175" t="str">
            <v>Large</v>
          </cell>
          <cell r="Q175" t="str">
            <v>174000 $</v>
          </cell>
          <cell r="R175" t="str">
            <v>United States</v>
          </cell>
          <cell r="S175" t="str">
            <v>United States</v>
          </cell>
          <cell r="Y175" t="str">
            <v>Mid-Level</v>
          </cell>
        </row>
        <row r="176">
          <cell r="B176">
            <v>173</v>
          </cell>
          <cell r="C176">
            <v>2021</v>
          </cell>
          <cell r="F176" t="str">
            <v>Data Scientist</v>
          </cell>
          <cell r="I176">
            <v>2859</v>
          </cell>
          <cell r="N176" t="str">
            <v>Full-Time</v>
          </cell>
          <cell r="O176" t="str">
            <v>Small</v>
          </cell>
          <cell r="Q176" t="str">
            <v>58000 Mex$</v>
          </cell>
          <cell r="R176" t="str">
            <v>Mexico</v>
          </cell>
          <cell r="S176" t="str">
            <v>Mexico</v>
          </cell>
          <cell r="Y176" t="str">
            <v>Mid-Level</v>
          </cell>
        </row>
        <row r="177">
          <cell r="B177">
            <v>174</v>
          </cell>
          <cell r="C177">
            <v>2021</v>
          </cell>
          <cell r="F177" t="str">
            <v>Data Scientist</v>
          </cell>
          <cell r="I177">
            <v>40038</v>
          </cell>
          <cell r="N177" t="str">
            <v>Full-Time</v>
          </cell>
          <cell r="O177" t="str">
            <v>Large</v>
          </cell>
          <cell r="Q177" t="str">
            <v>30400000 CLP$</v>
          </cell>
          <cell r="R177" t="str">
            <v>Chile</v>
          </cell>
          <cell r="S177" t="str">
            <v>Chile</v>
          </cell>
          <cell r="Y177" t="str">
            <v>Entry-Level</v>
          </cell>
        </row>
        <row r="178">
          <cell r="B178">
            <v>175</v>
          </cell>
          <cell r="C178">
            <v>2021</v>
          </cell>
          <cell r="F178" t="str">
            <v>Machine Learning Engineer</v>
          </cell>
          <cell r="I178">
            <v>81000</v>
          </cell>
          <cell r="N178" t="str">
            <v>Full-Time</v>
          </cell>
          <cell r="O178" t="str">
            <v>Small</v>
          </cell>
          <cell r="Q178" t="str">
            <v>81000 $</v>
          </cell>
          <cell r="R178" t="str">
            <v>United States</v>
          </cell>
          <cell r="S178" t="str">
            <v>United States</v>
          </cell>
          <cell r="Y178" t="str">
            <v>Mid-Level</v>
          </cell>
        </row>
        <row r="179">
          <cell r="B179">
            <v>176</v>
          </cell>
          <cell r="C179">
            <v>2021</v>
          </cell>
          <cell r="F179" t="str">
            <v>Data Scientist</v>
          </cell>
          <cell r="I179">
            <v>5679</v>
          </cell>
          <cell r="N179" t="str">
            <v>Full-Time</v>
          </cell>
          <cell r="O179" t="str">
            <v>Small</v>
          </cell>
          <cell r="Q179" t="str">
            <v>420000 ₹</v>
          </cell>
          <cell r="R179" t="str">
            <v>India</v>
          </cell>
          <cell r="S179" t="str">
            <v>United States</v>
          </cell>
          <cell r="Y179" t="str">
            <v>Mid-Level</v>
          </cell>
        </row>
        <row r="180">
          <cell r="B180">
            <v>177</v>
          </cell>
          <cell r="C180">
            <v>2021</v>
          </cell>
          <cell r="F180" t="str">
            <v>Big Data Engineer</v>
          </cell>
          <cell r="I180">
            <v>22611</v>
          </cell>
          <cell r="N180" t="str">
            <v>Full-Time</v>
          </cell>
          <cell r="O180" t="str">
            <v>Large</v>
          </cell>
          <cell r="Q180" t="str">
            <v>1672000 ₹</v>
          </cell>
          <cell r="R180" t="str">
            <v>India</v>
          </cell>
          <cell r="S180" t="str">
            <v>India</v>
          </cell>
          <cell r="Y180" t="str">
            <v>Mid-Level</v>
          </cell>
        </row>
        <row r="181">
          <cell r="B181">
            <v>178</v>
          </cell>
          <cell r="C181">
            <v>2021</v>
          </cell>
          <cell r="F181" t="str">
            <v>Data Scientist</v>
          </cell>
          <cell r="I181">
            <v>90734</v>
          </cell>
          <cell r="N181" t="str">
            <v>Full-Time</v>
          </cell>
          <cell r="O181" t="str">
            <v>Large</v>
          </cell>
          <cell r="Q181" t="str">
            <v>76760 €</v>
          </cell>
          <cell r="R181" t="str">
            <v>Germany</v>
          </cell>
          <cell r="S181" t="str">
            <v>Germany</v>
          </cell>
          <cell r="Y181" t="str">
            <v>Mid-Level</v>
          </cell>
        </row>
        <row r="182">
          <cell r="B182">
            <v>179</v>
          </cell>
          <cell r="C182">
            <v>2021</v>
          </cell>
          <cell r="F182" t="str">
            <v>Data Engineer</v>
          </cell>
          <cell r="I182">
            <v>26005</v>
          </cell>
          <cell r="N182" t="str">
            <v>Full-Time</v>
          </cell>
          <cell r="O182" t="str">
            <v>Large</v>
          </cell>
          <cell r="Q182" t="str">
            <v>22000 €</v>
          </cell>
          <cell r="R182" t="str">
            <v>Romania</v>
          </cell>
          <cell r="S182" t="str">
            <v>United States</v>
          </cell>
          <cell r="Y182" t="str">
            <v>Senior-Level</v>
          </cell>
        </row>
        <row r="183">
          <cell r="B183">
            <v>180</v>
          </cell>
          <cell r="C183">
            <v>2021</v>
          </cell>
          <cell r="F183" t="str">
            <v>Finance Data Analyst</v>
          </cell>
          <cell r="I183">
            <v>61896</v>
          </cell>
          <cell r="N183" t="str">
            <v>Full-Time</v>
          </cell>
          <cell r="O183" t="str">
            <v>Large</v>
          </cell>
          <cell r="Q183" t="str">
            <v>45000 £</v>
          </cell>
          <cell r="R183" t="str">
            <v>United Kingdom</v>
          </cell>
          <cell r="S183" t="str">
            <v>United Kingdom</v>
          </cell>
          <cell r="Y183" t="str">
            <v>Mid-Level</v>
          </cell>
        </row>
        <row r="184">
          <cell r="B184">
            <v>181</v>
          </cell>
          <cell r="C184">
            <v>2021</v>
          </cell>
          <cell r="F184" t="str">
            <v>Machine Learning Scientist</v>
          </cell>
          <cell r="I184">
            <v>12000</v>
          </cell>
          <cell r="N184" t="str">
            <v>Freelance</v>
          </cell>
          <cell r="O184" t="str">
            <v>Contract</v>
          </cell>
          <cell r="Q184" t="str">
            <v>12000 $</v>
          </cell>
          <cell r="R184" t="str">
            <v>Pakistan</v>
          </cell>
          <cell r="S184" t="str">
            <v>Pakistan</v>
          </cell>
          <cell r="Y184" t="str">
            <v>Mid-Level</v>
          </cell>
        </row>
        <row r="185">
          <cell r="B185">
            <v>182</v>
          </cell>
          <cell r="C185">
            <v>2021</v>
          </cell>
          <cell r="F185" t="str">
            <v>Data Engineer</v>
          </cell>
          <cell r="I185">
            <v>4000</v>
          </cell>
          <cell r="N185" t="str">
            <v>Full-Time</v>
          </cell>
          <cell r="O185" t="str">
            <v>Contract</v>
          </cell>
          <cell r="Q185" t="str">
            <v>4000 $</v>
          </cell>
          <cell r="R185" t="str">
            <v>Iran</v>
          </cell>
          <cell r="S185" t="str">
            <v>Iran</v>
          </cell>
          <cell r="Y185" t="str">
            <v>Senior-Level</v>
          </cell>
        </row>
        <row r="186">
          <cell r="B186">
            <v>183</v>
          </cell>
          <cell r="C186">
            <v>2021</v>
          </cell>
          <cell r="F186" t="str">
            <v>Data Analytics Engineer</v>
          </cell>
          <cell r="I186">
            <v>50000</v>
          </cell>
          <cell r="N186" t="str">
            <v>Full-Time</v>
          </cell>
          <cell r="O186" t="str">
            <v>Contract</v>
          </cell>
          <cell r="Q186" t="str">
            <v>50000 $</v>
          </cell>
          <cell r="R186" t="str">
            <v>Vietnam</v>
          </cell>
          <cell r="S186" t="str">
            <v>United Kingdom</v>
          </cell>
          <cell r="Y186" t="str">
            <v>Executive</v>
          </cell>
        </row>
        <row r="187">
          <cell r="B187">
            <v>184</v>
          </cell>
          <cell r="C187">
            <v>2021</v>
          </cell>
          <cell r="F187" t="str">
            <v>Data Science Consultant</v>
          </cell>
          <cell r="I187">
            <v>69741</v>
          </cell>
          <cell r="N187" t="str">
            <v>Full-Time</v>
          </cell>
          <cell r="O187" t="str">
            <v>Small</v>
          </cell>
          <cell r="Q187" t="str">
            <v>59000 €</v>
          </cell>
          <cell r="R187" t="str">
            <v>France</v>
          </cell>
          <cell r="S187" t="str">
            <v>Spain</v>
          </cell>
          <cell r="Y187" t="str">
            <v>Senior-Level</v>
          </cell>
        </row>
        <row r="188">
          <cell r="B188">
            <v>185</v>
          </cell>
          <cell r="C188">
            <v>2021</v>
          </cell>
          <cell r="F188" t="str">
            <v>Data Engineer</v>
          </cell>
          <cell r="I188">
            <v>76833</v>
          </cell>
          <cell r="N188" t="str">
            <v>Full-Time</v>
          </cell>
          <cell r="O188" t="str">
            <v>Small</v>
          </cell>
          <cell r="Q188" t="str">
            <v>65000 €</v>
          </cell>
          <cell r="R188" t="str">
            <v>Romania</v>
          </cell>
          <cell r="S188" t="str">
            <v>United Kingdom</v>
          </cell>
          <cell r="Y188" t="str">
            <v>Mid-Level</v>
          </cell>
        </row>
        <row r="189">
          <cell r="B189">
            <v>186</v>
          </cell>
          <cell r="C189">
            <v>2021</v>
          </cell>
          <cell r="F189" t="str">
            <v>Machine Learning Engineer</v>
          </cell>
          <cell r="I189">
            <v>74000</v>
          </cell>
          <cell r="N189" t="str">
            <v>Full-Time</v>
          </cell>
          <cell r="O189" t="str">
            <v>Small</v>
          </cell>
          <cell r="Q189" t="str">
            <v>74000 $</v>
          </cell>
          <cell r="R189" t="str">
            <v>Japan</v>
          </cell>
          <cell r="S189" t="str">
            <v>Japan</v>
          </cell>
          <cell r="Y189" t="str">
            <v>Senior-Level</v>
          </cell>
        </row>
        <row r="190">
          <cell r="B190">
            <v>187</v>
          </cell>
          <cell r="C190">
            <v>2021</v>
          </cell>
          <cell r="F190" t="str">
            <v>Data Science Manager</v>
          </cell>
          <cell r="I190">
            <v>152000</v>
          </cell>
          <cell r="N190" t="str">
            <v>Full-Time</v>
          </cell>
          <cell r="O190" t="str">
            <v>Large</v>
          </cell>
          <cell r="Q190" t="str">
            <v>152000 $</v>
          </cell>
          <cell r="R190" t="str">
            <v>United States</v>
          </cell>
          <cell r="S190" t="str">
            <v>France</v>
          </cell>
          <cell r="Y190" t="str">
            <v>Entry-Level</v>
          </cell>
        </row>
        <row r="191">
          <cell r="B191">
            <v>188</v>
          </cell>
          <cell r="C191">
            <v>2021</v>
          </cell>
          <cell r="F191" t="str">
            <v>Machine Learning Engineer</v>
          </cell>
          <cell r="I191">
            <v>21844</v>
          </cell>
          <cell r="N191" t="str">
            <v>Full-Time</v>
          </cell>
          <cell r="O191" t="str">
            <v>Contract</v>
          </cell>
          <cell r="Q191" t="str">
            <v>21844 $</v>
          </cell>
          <cell r="R191" t="str">
            <v>Colombia</v>
          </cell>
          <cell r="S191" t="str">
            <v>Colombia</v>
          </cell>
          <cell r="Y191" t="str">
            <v>Mid-Level</v>
          </cell>
        </row>
        <row r="192">
          <cell r="B192">
            <v>189</v>
          </cell>
          <cell r="C192">
            <v>2021</v>
          </cell>
          <cell r="F192" t="str">
            <v>Big Data Engineer</v>
          </cell>
          <cell r="I192">
            <v>18000</v>
          </cell>
          <cell r="N192" t="str">
            <v>Full-Time</v>
          </cell>
          <cell r="O192" t="str">
            <v>Small</v>
          </cell>
          <cell r="Q192" t="str">
            <v>18000 $</v>
          </cell>
          <cell r="R192" t="str">
            <v>Moldova</v>
          </cell>
          <cell r="S192" t="str">
            <v>Moldova</v>
          </cell>
          <cell r="Y192" t="str">
            <v>Senior-Level</v>
          </cell>
        </row>
        <row r="193">
          <cell r="B193">
            <v>190</v>
          </cell>
          <cell r="C193">
            <v>2021</v>
          </cell>
          <cell r="F193" t="str">
            <v>Data Science Manager</v>
          </cell>
          <cell r="I193">
            <v>174000</v>
          </cell>
          <cell r="N193" t="str">
            <v>Full-Time</v>
          </cell>
          <cell r="O193" t="str">
            <v>Large</v>
          </cell>
          <cell r="Q193" t="str">
            <v>174000 $</v>
          </cell>
          <cell r="R193" t="str">
            <v>United States</v>
          </cell>
          <cell r="S193" t="str">
            <v>United States</v>
          </cell>
          <cell r="Y193" t="str">
            <v>Senior-Level</v>
          </cell>
        </row>
        <row r="194">
          <cell r="B194">
            <v>191</v>
          </cell>
          <cell r="C194">
            <v>2021</v>
          </cell>
          <cell r="F194" t="str">
            <v>Research Scientist</v>
          </cell>
          <cell r="I194">
            <v>96113</v>
          </cell>
          <cell r="N194" t="str">
            <v>Full-Time</v>
          </cell>
          <cell r="O194" t="str">
            <v>Large</v>
          </cell>
          <cell r="Q194" t="str">
            <v>120500 C$</v>
          </cell>
          <cell r="R194" t="str">
            <v>Canada</v>
          </cell>
          <cell r="S194" t="str">
            <v>Canada</v>
          </cell>
          <cell r="Y194" t="str">
            <v>Mid-Level</v>
          </cell>
        </row>
        <row r="195">
          <cell r="B195">
            <v>192</v>
          </cell>
          <cell r="C195">
            <v>2021</v>
          </cell>
          <cell r="F195" t="str">
            <v>Data Scientist</v>
          </cell>
          <cell r="I195">
            <v>147000</v>
          </cell>
          <cell r="N195" t="str">
            <v>Full-Time</v>
          </cell>
          <cell r="O195" t="str">
            <v>Large</v>
          </cell>
          <cell r="Q195" t="str">
            <v>147000 $</v>
          </cell>
          <cell r="R195" t="str">
            <v>United States</v>
          </cell>
          <cell r="S195" t="str">
            <v>United States</v>
          </cell>
          <cell r="Y195" t="str">
            <v>Entry-Level</v>
          </cell>
        </row>
        <row r="196">
          <cell r="B196">
            <v>193</v>
          </cell>
          <cell r="C196">
            <v>2021</v>
          </cell>
          <cell r="F196" t="str">
            <v>BI Data Analyst</v>
          </cell>
          <cell r="I196">
            <v>9272</v>
          </cell>
          <cell r="N196" t="str">
            <v>Full-Time</v>
          </cell>
          <cell r="O196" t="str">
            <v>Small</v>
          </cell>
          <cell r="Q196" t="str">
            <v>9272 $</v>
          </cell>
          <cell r="R196" t="str">
            <v>Kenya</v>
          </cell>
          <cell r="S196" t="str">
            <v>Kenya</v>
          </cell>
          <cell r="Y196" t="str">
            <v>Senior-Level</v>
          </cell>
        </row>
        <row r="197">
          <cell r="B197">
            <v>194</v>
          </cell>
          <cell r="C197">
            <v>2021</v>
          </cell>
          <cell r="F197" t="str">
            <v>Machine Learning Engineer</v>
          </cell>
          <cell r="I197">
            <v>24342</v>
          </cell>
          <cell r="N197" t="str">
            <v>Full-Time</v>
          </cell>
          <cell r="O197" t="str">
            <v>Large</v>
          </cell>
          <cell r="Q197" t="str">
            <v>1799997 ₹</v>
          </cell>
          <cell r="R197" t="str">
            <v>India</v>
          </cell>
          <cell r="S197" t="str">
            <v>India</v>
          </cell>
          <cell r="Y197" t="str">
            <v>Senior-Level</v>
          </cell>
        </row>
        <row r="198">
          <cell r="B198">
            <v>195</v>
          </cell>
          <cell r="C198">
            <v>2021</v>
          </cell>
          <cell r="F198" t="str">
            <v>Data Science Manager</v>
          </cell>
          <cell r="I198">
            <v>54094</v>
          </cell>
          <cell r="N198" t="str">
            <v>Full-Time</v>
          </cell>
          <cell r="O198" t="str">
            <v>Large</v>
          </cell>
          <cell r="Q198" t="str">
            <v>4000000 ₹</v>
          </cell>
          <cell r="R198" t="str">
            <v>India</v>
          </cell>
          <cell r="S198" t="str">
            <v>United States</v>
          </cell>
          <cell r="Y198" t="str">
            <v>Entry-Level</v>
          </cell>
        </row>
        <row r="199">
          <cell r="B199">
            <v>196</v>
          </cell>
          <cell r="C199">
            <v>2021</v>
          </cell>
          <cell r="F199" t="str">
            <v>Data Science Consultant</v>
          </cell>
          <cell r="I199">
            <v>90000</v>
          </cell>
          <cell r="N199" t="str">
            <v>Full-Time</v>
          </cell>
          <cell r="O199" t="str">
            <v>Small</v>
          </cell>
          <cell r="Q199" t="str">
            <v>90000 $</v>
          </cell>
          <cell r="R199" t="str">
            <v>United States</v>
          </cell>
          <cell r="S199" t="str">
            <v>United States</v>
          </cell>
          <cell r="Y199" t="str">
            <v>Mid-Level</v>
          </cell>
        </row>
        <row r="200">
          <cell r="B200">
            <v>197</v>
          </cell>
          <cell r="C200">
            <v>2021</v>
          </cell>
          <cell r="F200" t="str">
            <v>Data Scientist</v>
          </cell>
          <cell r="I200">
            <v>61467</v>
          </cell>
          <cell r="N200" t="str">
            <v>Full-Time</v>
          </cell>
          <cell r="O200" t="str">
            <v>Contract</v>
          </cell>
          <cell r="Q200" t="str">
            <v>52000 €</v>
          </cell>
          <cell r="R200" t="str">
            <v>Germany</v>
          </cell>
          <cell r="S200" t="str">
            <v>Austria</v>
          </cell>
          <cell r="Y200" t="str">
            <v>Senior-Level</v>
          </cell>
        </row>
        <row r="201">
          <cell r="B201">
            <v>198</v>
          </cell>
          <cell r="C201">
            <v>2021</v>
          </cell>
          <cell r="F201" t="str">
            <v>Machine Learning Infrastructure Engineer</v>
          </cell>
          <cell r="I201">
            <v>195000</v>
          </cell>
          <cell r="N201" t="str">
            <v>Full-Time</v>
          </cell>
          <cell r="O201" t="str">
            <v>Contract</v>
          </cell>
          <cell r="Q201" t="str">
            <v>195000 $</v>
          </cell>
          <cell r="R201" t="str">
            <v>United States</v>
          </cell>
          <cell r="S201" t="str">
            <v>United States</v>
          </cell>
          <cell r="Y201" t="str">
            <v>Mid-Level</v>
          </cell>
        </row>
        <row r="202">
          <cell r="B202">
            <v>199</v>
          </cell>
          <cell r="C202">
            <v>2021</v>
          </cell>
          <cell r="F202" t="str">
            <v>Data Scientist</v>
          </cell>
          <cell r="I202">
            <v>37825</v>
          </cell>
          <cell r="N202" t="str">
            <v>Full-Time</v>
          </cell>
          <cell r="O202" t="str">
            <v>Large</v>
          </cell>
          <cell r="Q202" t="str">
            <v>32000 €</v>
          </cell>
          <cell r="R202" t="str">
            <v>Spain</v>
          </cell>
          <cell r="S202" t="str">
            <v>Spain</v>
          </cell>
          <cell r="Y202" t="str">
            <v>Senior-Level</v>
          </cell>
        </row>
        <row r="203">
          <cell r="B203">
            <v>200</v>
          </cell>
          <cell r="C203">
            <v>2021</v>
          </cell>
          <cell r="F203" t="str">
            <v>Research Scientist</v>
          </cell>
          <cell r="I203">
            <v>50000</v>
          </cell>
          <cell r="N203" t="str">
            <v>Full-Time</v>
          </cell>
          <cell r="O203" t="str">
            <v>Small</v>
          </cell>
          <cell r="Q203" t="str">
            <v>50000 $</v>
          </cell>
          <cell r="R203" t="str">
            <v>France</v>
          </cell>
          <cell r="S203" t="str">
            <v>United States</v>
          </cell>
          <cell r="Y203" t="str">
            <v>Mid-Level</v>
          </cell>
        </row>
        <row r="204">
          <cell r="B204">
            <v>201</v>
          </cell>
          <cell r="C204">
            <v>2021</v>
          </cell>
          <cell r="F204" t="str">
            <v>Data Scientist</v>
          </cell>
          <cell r="I204">
            <v>160000</v>
          </cell>
          <cell r="N204" t="str">
            <v>Full-Time</v>
          </cell>
          <cell r="O204" t="str">
            <v>Large</v>
          </cell>
          <cell r="Q204" t="str">
            <v>160000 $</v>
          </cell>
          <cell r="R204" t="str">
            <v>United States</v>
          </cell>
          <cell r="S204" t="str">
            <v>United States</v>
          </cell>
          <cell r="Y204" t="str">
            <v>Mid-Level</v>
          </cell>
        </row>
        <row r="205">
          <cell r="B205">
            <v>202</v>
          </cell>
          <cell r="C205">
            <v>2021</v>
          </cell>
          <cell r="F205" t="str">
            <v>Data Scientist</v>
          </cell>
          <cell r="I205">
            <v>12901</v>
          </cell>
          <cell r="N205" t="str">
            <v>Full-Time</v>
          </cell>
          <cell r="O205" t="str">
            <v>Small</v>
          </cell>
          <cell r="Q205" t="str">
            <v>69600 R$</v>
          </cell>
          <cell r="R205" t="str">
            <v>Brazil</v>
          </cell>
          <cell r="S205" t="str">
            <v>Brazil</v>
          </cell>
          <cell r="Y205" t="str">
            <v>Senior-Level</v>
          </cell>
        </row>
        <row r="206">
          <cell r="B206">
            <v>203</v>
          </cell>
          <cell r="C206">
            <v>2021</v>
          </cell>
          <cell r="F206" t="str">
            <v>Machine Learning Engineer</v>
          </cell>
          <cell r="I206">
            <v>200000</v>
          </cell>
          <cell r="N206" t="str">
            <v>Full-Time</v>
          </cell>
          <cell r="O206" t="str">
            <v>Large</v>
          </cell>
          <cell r="Q206" t="str">
            <v>200000 $</v>
          </cell>
          <cell r="R206" t="str">
            <v>United States</v>
          </cell>
          <cell r="S206" t="str">
            <v>United States</v>
          </cell>
          <cell r="Y206" t="str">
            <v>Senior-Level</v>
          </cell>
        </row>
        <row r="207">
          <cell r="B207">
            <v>204</v>
          </cell>
          <cell r="C207">
            <v>2021</v>
          </cell>
          <cell r="F207" t="str">
            <v>Data Engineer</v>
          </cell>
          <cell r="I207">
            <v>165000</v>
          </cell>
          <cell r="N207" t="str">
            <v>Full-Time</v>
          </cell>
          <cell r="O207" t="str">
            <v>Contract</v>
          </cell>
          <cell r="Q207" t="str">
            <v>165000 $</v>
          </cell>
          <cell r="R207" t="str">
            <v>United States</v>
          </cell>
          <cell r="S207" t="str">
            <v>United States</v>
          </cell>
          <cell r="Y207" t="str">
            <v>Mid-Level</v>
          </cell>
        </row>
        <row r="208">
          <cell r="B208">
            <v>205</v>
          </cell>
          <cell r="C208">
            <v>2021</v>
          </cell>
          <cell r="F208" t="str">
            <v>Data Engineer</v>
          </cell>
          <cell r="I208">
            <v>20000</v>
          </cell>
          <cell r="N208" t="str">
            <v>Freelance</v>
          </cell>
          <cell r="O208" t="str">
            <v>Large</v>
          </cell>
          <cell r="Q208" t="str">
            <v>20000 $</v>
          </cell>
          <cell r="R208" t="str">
            <v>Italy</v>
          </cell>
          <cell r="S208" t="str">
            <v>United States</v>
          </cell>
          <cell r="Y208" t="str">
            <v>Mid-Level</v>
          </cell>
        </row>
        <row r="209">
          <cell r="B209">
            <v>206</v>
          </cell>
          <cell r="C209">
            <v>2021</v>
          </cell>
          <cell r="F209" t="str">
            <v>Machine Learning Engineer</v>
          </cell>
          <cell r="I209">
            <v>24823</v>
          </cell>
          <cell r="N209" t="str">
            <v>Full-Time</v>
          </cell>
          <cell r="O209" t="str">
            <v>Large</v>
          </cell>
          <cell r="Q209" t="str">
            <v>21000 €</v>
          </cell>
          <cell r="R209" t="str">
            <v>Slovenia</v>
          </cell>
          <cell r="S209" t="str">
            <v>Slovenia</v>
          </cell>
          <cell r="Y209" t="str">
            <v>Mid-Level</v>
          </cell>
        </row>
        <row r="210">
          <cell r="B210">
            <v>207</v>
          </cell>
          <cell r="C210">
            <v>2021</v>
          </cell>
          <cell r="F210" t="str">
            <v>Research Scientist</v>
          </cell>
          <cell r="I210">
            <v>56738</v>
          </cell>
          <cell r="N210" t="str">
            <v>Full-Time</v>
          </cell>
          <cell r="O210" t="str">
            <v>Small</v>
          </cell>
          <cell r="Q210" t="str">
            <v>48000 €</v>
          </cell>
          <cell r="R210" t="str">
            <v>France</v>
          </cell>
          <cell r="S210" t="str">
            <v>France</v>
          </cell>
          <cell r="Y210" t="str">
            <v>Mid-Level</v>
          </cell>
        </row>
        <row r="211">
          <cell r="B211">
            <v>208</v>
          </cell>
          <cell r="C211">
            <v>2021</v>
          </cell>
          <cell r="F211" t="str">
            <v>Data Engineer</v>
          </cell>
          <cell r="I211">
            <v>66022</v>
          </cell>
          <cell r="N211" t="str">
            <v>Full-Time</v>
          </cell>
          <cell r="O211" t="str">
            <v>Small</v>
          </cell>
          <cell r="Q211" t="str">
            <v>48000 £</v>
          </cell>
          <cell r="R211" t="str">
            <v>Hong Kong</v>
          </cell>
          <cell r="S211" t="str">
            <v>United Kingdom</v>
          </cell>
          <cell r="Y211" t="str">
            <v>Entry-Level</v>
          </cell>
        </row>
        <row r="212">
          <cell r="B212">
            <v>209</v>
          </cell>
          <cell r="C212">
            <v>2021</v>
          </cell>
          <cell r="F212" t="str">
            <v>Big Data Engineer</v>
          </cell>
          <cell r="I212">
            <v>5882</v>
          </cell>
          <cell r="N212" t="str">
            <v>Full-Time</v>
          </cell>
          <cell r="O212" t="str">
            <v>Large</v>
          </cell>
          <cell r="Q212" t="str">
            <v>435000 ₹</v>
          </cell>
          <cell r="R212" t="str">
            <v>India</v>
          </cell>
          <cell r="S212" t="str">
            <v>Switzerland</v>
          </cell>
          <cell r="Y212" t="str">
            <v>Entry-Level</v>
          </cell>
        </row>
        <row r="213">
          <cell r="B213">
            <v>210</v>
          </cell>
          <cell r="C213">
            <v>2021</v>
          </cell>
          <cell r="F213" t="str">
            <v>Machine Learning Engineer</v>
          </cell>
          <cell r="I213">
            <v>24823</v>
          </cell>
          <cell r="N213" t="str">
            <v>Full-Time</v>
          </cell>
          <cell r="O213" t="str">
            <v>Contract</v>
          </cell>
          <cell r="Q213" t="str">
            <v>21000 €</v>
          </cell>
          <cell r="R213" t="str">
            <v>Germany</v>
          </cell>
          <cell r="S213" t="str">
            <v>Germany</v>
          </cell>
          <cell r="Y213" t="str">
            <v>Senior-Level</v>
          </cell>
        </row>
        <row r="214">
          <cell r="B214">
            <v>211</v>
          </cell>
          <cell r="C214">
            <v>2021</v>
          </cell>
          <cell r="F214" t="str">
            <v>Principal Data Engineer</v>
          </cell>
          <cell r="I214">
            <v>185000</v>
          </cell>
          <cell r="N214" t="str">
            <v>Full-Time</v>
          </cell>
          <cell r="O214" t="str">
            <v>Large</v>
          </cell>
          <cell r="Q214" t="str">
            <v>185000 $</v>
          </cell>
          <cell r="R214" t="str">
            <v>United States</v>
          </cell>
          <cell r="S214" t="str">
            <v>United States</v>
          </cell>
          <cell r="Y214" t="str">
            <v>Entry-Level</v>
          </cell>
        </row>
        <row r="215">
          <cell r="B215">
            <v>212</v>
          </cell>
          <cell r="C215">
            <v>2021</v>
          </cell>
          <cell r="F215" t="str">
            <v>Computer Vision Engineer</v>
          </cell>
          <cell r="I215">
            <v>28609</v>
          </cell>
          <cell r="N215" t="str">
            <v>Part-Time</v>
          </cell>
          <cell r="O215" t="str">
            <v>Small</v>
          </cell>
          <cell r="Q215" t="str">
            <v>180000 kr</v>
          </cell>
          <cell r="R215" t="str">
            <v>Denmark</v>
          </cell>
          <cell r="S215" t="str">
            <v>Denmark</v>
          </cell>
          <cell r="Y215" t="str">
            <v>Mid-Level</v>
          </cell>
        </row>
        <row r="216">
          <cell r="B216">
            <v>213</v>
          </cell>
          <cell r="C216">
            <v>2021</v>
          </cell>
          <cell r="F216" t="str">
            <v>Machine Learning Engineer</v>
          </cell>
          <cell r="I216">
            <v>88654</v>
          </cell>
          <cell r="N216" t="str">
            <v>Full-Time</v>
          </cell>
          <cell r="O216" t="str">
            <v>Contract</v>
          </cell>
          <cell r="Q216" t="str">
            <v>75000 €</v>
          </cell>
          <cell r="R216" t="str">
            <v>Belgium</v>
          </cell>
          <cell r="S216" t="str">
            <v>Belgium</v>
          </cell>
          <cell r="Y216" t="str">
            <v>Senior-Level</v>
          </cell>
        </row>
        <row r="217">
          <cell r="B217">
            <v>214</v>
          </cell>
          <cell r="C217">
            <v>2021</v>
          </cell>
          <cell r="F217" t="str">
            <v>Data Analytics Manager</v>
          </cell>
          <cell r="I217">
            <v>140000</v>
          </cell>
          <cell r="N217" t="str">
            <v>Full-Time</v>
          </cell>
          <cell r="O217" t="str">
            <v>Large</v>
          </cell>
          <cell r="Q217" t="str">
            <v>140000 $</v>
          </cell>
          <cell r="R217" t="str">
            <v>United States</v>
          </cell>
          <cell r="S217" t="str">
            <v>United States</v>
          </cell>
          <cell r="Y217" t="str">
            <v>Mid-Level</v>
          </cell>
        </row>
        <row r="218">
          <cell r="B218">
            <v>215</v>
          </cell>
          <cell r="C218">
            <v>2021</v>
          </cell>
          <cell r="F218" t="str">
            <v>Machine Learning Engineer</v>
          </cell>
          <cell r="I218">
            <v>46597</v>
          </cell>
          <cell r="N218" t="str">
            <v>Full-Time</v>
          </cell>
          <cell r="O218" t="str">
            <v>Large</v>
          </cell>
          <cell r="Q218" t="str">
            <v>180000 zł</v>
          </cell>
          <cell r="R218" t="str">
            <v>Poland</v>
          </cell>
          <cell r="S218" t="str">
            <v>Poland</v>
          </cell>
          <cell r="Y218" t="str">
            <v>Mid-Level</v>
          </cell>
        </row>
        <row r="219">
          <cell r="B219">
            <v>216</v>
          </cell>
          <cell r="C219">
            <v>2021</v>
          </cell>
          <cell r="F219" t="str">
            <v>Data Scientist</v>
          </cell>
          <cell r="I219">
            <v>116914</v>
          </cell>
          <cell r="N219" t="str">
            <v>Full-Time</v>
          </cell>
          <cell r="O219" t="str">
            <v>Large</v>
          </cell>
          <cell r="Q219" t="str">
            <v>85000 £</v>
          </cell>
          <cell r="R219" t="str">
            <v>United Kingdom</v>
          </cell>
          <cell r="S219" t="str">
            <v>United Kingdom</v>
          </cell>
          <cell r="Y219" t="str">
            <v>Mid-Level</v>
          </cell>
        </row>
        <row r="220">
          <cell r="B220">
            <v>217</v>
          </cell>
          <cell r="C220">
            <v>2021</v>
          </cell>
          <cell r="F220" t="str">
            <v>Data Scientist</v>
          </cell>
          <cell r="I220">
            <v>33808</v>
          </cell>
          <cell r="N220" t="str">
            <v>Full-Time</v>
          </cell>
          <cell r="O220" t="str">
            <v>Contract</v>
          </cell>
          <cell r="Q220" t="str">
            <v>2500000 ₹</v>
          </cell>
          <cell r="R220" t="str">
            <v>India</v>
          </cell>
          <cell r="S220" t="str">
            <v>India</v>
          </cell>
          <cell r="Y220" t="str">
            <v>Mid-Level</v>
          </cell>
        </row>
        <row r="221">
          <cell r="B221">
            <v>218</v>
          </cell>
          <cell r="C221">
            <v>2021</v>
          </cell>
          <cell r="F221" t="str">
            <v>Data Scientist</v>
          </cell>
          <cell r="I221">
            <v>56256</v>
          </cell>
          <cell r="N221" t="str">
            <v>Full-Time</v>
          </cell>
          <cell r="O221" t="str">
            <v>Large</v>
          </cell>
          <cell r="Q221" t="str">
            <v>40900 £</v>
          </cell>
          <cell r="R221" t="str">
            <v>United Kingdom</v>
          </cell>
          <cell r="S221" t="str">
            <v>United Kingdom</v>
          </cell>
          <cell r="Y221" t="str">
            <v>Senior-Level</v>
          </cell>
        </row>
        <row r="222">
          <cell r="B222">
            <v>219</v>
          </cell>
          <cell r="C222">
            <v>2021</v>
          </cell>
          <cell r="F222" t="str">
            <v>Machine Learning Scientist</v>
          </cell>
          <cell r="I222">
            <v>225000</v>
          </cell>
          <cell r="N222" t="str">
            <v>Full-Time</v>
          </cell>
          <cell r="O222" t="str">
            <v>Large</v>
          </cell>
          <cell r="Q222" t="str">
            <v>225000 $</v>
          </cell>
          <cell r="R222" t="str">
            <v>United States</v>
          </cell>
          <cell r="S222" t="str">
            <v>Canada</v>
          </cell>
          <cell r="Y222" t="str">
            <v>Executive</v>
          </cell>
        </row>
        <row r="223">
          <cell r="B223">
            <v>220</v>
          </cell>
          <cell r="C223">
            <v>2021</v>
          </cell>
          <cell r="F223" t="str">
            <v>Principal Data Scientist</v>
          </cell>
          <cell r="I223">
            <v>416000</v>
          </cell>
          <cell r="N223" t="str">
            <v>Contract</v>
          </cell>
          <cell r="O223" t="str">
            <v>Small</v>
          </cell>
          <cell r="Q223" t="str">
            <v>416000 $</v>
          </cell>
          <cell r="R223" t="str">
            <v>United States</v>
          </cell>
          <cell r="S223" t="str">
            <v>United States</v>
          </cell>
          <cell r="Y223" t="str">
            <v>Senior-Level</v>
          </cell>
        </row>
        <row r="224">
          <cell r="B224">
            <v>221</v>
          </cell>
          <cell r="C224">
            <v>2021</v>
          </cell>
          <cell r="F224" t="str">
            <v>Data Scientist</v>
          </cell>
          <cell r="I224">
            <v>87738</v>
          </cell>
          <cell r="N224" t="str">
            <v>Full-Time</v>
          </cell>
          <cell r="O224" t="str">
            <v>Small</v>
          </cell>
          <cell r="Q224" t="str">
            <v>110000 C$</v>
          </cell>
          <cell r="R224" t="str">
            <v>Canada</v>
          </cell>
          <cell r="S224" t="str">
            <v>Canada</v>
          </cell>
          <cell r="Y224" t="str">
            <v>Mid-Level</v>
          </cell>
        </row>
        <row r="225">
          <cell r="B225">
            <v>222</v>
          </cell>
          <cell r="C225">
            <v>2021</v>
          </cell>
          <cell r="F225" t="str">
            <v>Data Scientist</v>
          </cell>
          <cell r="I225">
            <v>88654</v>
          </cell>
          <cell r="N225" t="str">
            <v>Full-Time</v>
          </cell>
          <cell r="O225" t="str">
            <v>Large</v>
          </cell>
          <cell r="Q225" t="str">
            <v>75000 €</v>
          </cell>
          <cell r="R225" t="str">
            <v>Germany</v>
          </cell>
          <cell r="S225" t="str">
            <v>Germany</v>
          </cell>
          <cell r="Y225" t="str">
            <v>Senior-Level</v>
          </cell>
        </row>
        <row r="226">
          <cell r="B226">
            <v>223</v>
          </cell>
          <cell r="C226">
            <v>2021</v>
          </cell>
          <cell r="F226" t="str">
            <v>Data Scientist</v>
          </cell>
          <cell r="I226">
            <v>135000</v>
          </cell>
          <cell r="N226" t="str">
            <v>Full-Time</v>
          </cell>
          <cell r="O226" t="str">
            <v>Large</v>
          </cell>
          <cell r="Q226" t="str">
            <v>135000 $</v>
          </cell>
          <cell r="R226" t="str">
            <v>United States</v>
          </cell>
          <cell r="S226" t="str">
            <v>United States</v>
          </cell>
          <cell r="Y226" t="str">
            <v>Senior-Level</v>
          </cell>
        </row>
        <row r="227">
          <cell r="B227">
            <v>224</v>
          </cell>
          <cell r="C227">
            <v>2021</v>
          </cell>
          <cell r="F227" t="str">
            <v>Data Analyst</v>
          </cell>
          <cell r="I227">
            <v>71786</v>
          </cell>
          <cell r="N227" t="str">
            <v>Full-Time</v>
          </cell>
          <cell r="O227" t="str">
            <v>Contract</v>
          </cell>
          <cell r="Q227" t="str">
            <v>90000 C$</v>
          </cell>
          <cell r="R227" t="str">
            <v>Canada</v>
          </cell>
          <cell r="S227" t="str">
            <v>Canada</v>
          </cell>
          <cell r="Y227" t="str">
            <v>Entry-Level</v>
          </cell>
        </row>
        <row r="228">
          <cell r="B228">
            <v>225</v>
          </cell>
          <cell r="C228">
            <v>2021</v>
          </cell>
          <cell r="F228" t="str">
            <v>Big Data Engineer</v>
          </cell>
          <cell r="I228">
            <v>16228</v>
          </cell>
          <cell r="N228" t="str">
            <v>Full-Time</v>
          </cell>
          <cell r="O228" t="str">
            <v>Large</v>
          </cell>
          <cell r="Q228" t="str">
            <v>1200000 ₹</v>
          </cell>
          <cell r="R228" t="str">
            <v>India</v>
          </cell>
          <cell r="S228" t="str">
            <v>India</v>
          </cell>
          <cell r="Y228" t="str">
            <v>Senior-Level</v>
          </cell>
        </row>
        <row r="229">
          <cell r="B229">
            <v>226</v>
          </cell>
          <cell r="C229">
            <v>2021</v>
          </cell>
          <cell r="F229" t="str">
            <v>ML Engineer</v>
          </cell>
          <cell r="I229">
            <v>256000</v>
          </cell>
          <cell r="N229" t="str">
            <v>Full-Time</v>
          </cell>
          <cell r="O229" t="str">
            <v>Small</v>
          </cell>
          <cell r="Q229" t="str">
            <v>256000 $</v>
          </cell>
          <cell r="R229" t="str">
            <v>United States</v>
          </cell>
          <cell r="S229" t="str">
            <v>United States</v>
          </cell>
          <cell r="Y229" t="str">
            <v>Senior-Level</v>
          </cell>
        </row>
        <row r="230">
          <cell r="B230">
            <v>227</v>
          </cell>
          <cell r="C230">
            <v>2021</v>
          </cell>
          <cell r="F230" t="str">
            <v>Director of Data Engineering</v>
          </cell>
          <cell r="I230">
            <v>200000</v>
          </cell>
          <cell r="N230" t="str">
            <v>Full-Time</v>
          </cell>
          <cell r="O230" t="str">
            <v>Large</v>
          </cell>
          <cell r="Q230" t="str">
            <v>200000 $</v>
          </cell>
          <cell r="R230" t="str">
            <v>United States</v>
          </cell>
          <cell r="S230" t="str">
            <v>United States</v>
          </cell>
          <cell r="Y230" t="str">
            <v>Senior-Level</v>
          </cell>
        </row>
        <row r="231">
          <cell r="B231">
            <v>228</v>
          </cell>
          <cell r="C231">
            <v>2021</v>
          </cell>
          <cell r="F231" t="str">
            <v>Data Analyst</v>
          </cell>
          <cell r="I231">
            <v>200000</v>
          </cell>
          <cell r="N231" t="str">
            <v>Full-Time</v>
          </cell>
          <cell r="O231" t="str">
            <v>Large</v>
          </cell>
          <cell r="Q231" t="str">
            <v>200000 $</v>
          </cell>
          <cell r="R231" t="str">
            <v>United States</v>
          </cell>
          <cell r="S231" t="str">
            <v>United States</v>
          </cell>
          <cell r="Y231" t="str">
            <v>Mid-Level</v>
          </cell>
        </row>
        <row r="232">
          <cell r="B232">
            <v>229</v>
          </cell>
          <cell r="C232">
            <v>2021</v>
          </cell>
          <cell r="F232" t="str">
            <v>Data Architect</v>
          </cell>
          <cell r="I232">
            <v>180000</v>
          </cell>
          <cell r="N232" t="str">
            <v>Full-Time</v>
          </cell>
          <cell r="O232" t="str">
            <v>Large</v>
          </cell>
          <cell r="Q232" t="str">
            <v>180000 $</v>
          </cell>
          <cell r="R232" t="str">
            <v>United States</v>
          </cell>
          <cell r="S232" t="str">
            <v>United States</v>
          </cell>
          <cell r="Y232" t="str">
            <v>Mid-Level</v>
          </cell>
        </row>
        <row r="233">
          <cell r="B233">
            <v>230</v>
          </cell>
          <cell r="C233">
            <v>2021</v>
          </cell>
          <cell r="F233" t="str">
            <v>Head of Data Science</v>
          </cell>
          <cell r="I233">
            <v>110000</v>
          </cell>
          <cell r="N233" t="str">
            <v>Full-Time</v>
          </cell>
          <cell r="O233" t="str">
            <v>Small</v>
          </cell>
          <cell r="Q233" t="str">
            <v>110000 $</v>
          </cell>
          <cell r="R233" t="str">
            <v>United States</v>
          </cell>
          <cell r="S233" t="str">
            <v>United States</v>
          </cell>
          <cell r="Y233" t="str">
            <v>Mid-Level</v>
          </cell>
        </row>
        <row r="234">
          <cell r="B234">
            <v>231</v>
          </cell>
          <cell r="C234">
            <v>2021</v>
          </cell>
          <cell r="F234" t="str">
            <v>Research Scientist</v>
          </cell>
          <cell r="I234">
            <v>63810</v>
          </cell>
          <cell r="N234" t="str">
            <v>Full-Time</v>
          </cell>
          <cell r="O234" t="str">
            <v>Contract</v>
          </cell>
          <cell r="Q234" t="str">
            <v>80000 C$</v>
          </cell>
          <cell r="R234" t="str">
            <v>Canada</v>
          </cell>
          <cell r="S234" t="str">
            <v>Canada</v>
          </cell>
          <cell r="Y234" t="str">
            <v>Mid-Level</v>
          </cell>
        </row>
        <row r="235">
          <cell r="B235">
            <v>232</v>
          </cell>
          <cell r="C235">
            <v>2021</v>
          </cell>
          <cell r="F235" t="str">
            <v>Data Scientist</v>
          </cell>
          <cell r="I235">
            <v>46809</v>
          </cell>
          <cell r="N235" t="str">
            <v>Full-Time</v>
          </cell>
          <cell r="O235" t="str">
            <v>Contract</v>
          </cell>
          <cell r="Q235" t="str">
            <v>39600 €</v>
          </cell>
          <cell r="R235" t="str">
            <v>Spain</v>
          </cell>
          <cell r="S235" t="str">
            <v>Spain</v>
          </cell>
          <cell r="Y235" t="str">
            <v>Entry-Level</v>
          </cell>
        </row>
        <row r="236">
          <cell r="B236">
            <v>233</v>
          </cell>
          <cell r="C236">
            <v>2021</v>
          </cell>
          <cell r="F236" t="str">
            <v>Data Scientist</v>
          </cell>
          <cell r="I236">
            <v>4000</v>
          </cell>
          <cell r="N236" t="str">
            <v>Full-Time</v>
          </cell>
          <cell r="O236" t="str">
            <v>Contract</v>
          </cell>
          <cell r="Q236" t="str">
            <v>4000 $</v>
          </cell>
          <cell r="R236" t="str">
            <v>Vietnam</v>
          </cell>
          <cell r="S236" t="str">
            <v>Vietnam</v>
          </cell>
          <cell r="Y236" t="str">
            <v>Entry-Level</v>
          </cell>
        </row>
        <row r="237">
          <cell r="B237">
            <v>234</v>
          </cell>
          <cell r="C237">
            <v>2021</v>
          </cell>
          <cell r="F237" t="str">
            <v>Data Engineer</v>
          </cell>
          <cell r="I237">
            <v>21637</v>
          </cell>
          <cell r="N237" t="str">
            <v>Full-Time</v>
          </cell>
          <cell r="O237" t="str">
            <v>Contract</v>
          </cell>
          <cell r="Q237" t="str">
            <v>1600000 ₹</v>
          </cell>
          <cell r="R237" t="str">
            <v>India</v>
          </cell>
          <cell r="S237" t="str">
            <v>India</v>
          </cell>
          <cell r="Y237" t="str">
            <v>Senior-Level</v>
          </cell>
        </row>
        <row r="238">
          <cell r="B238">
            <v>235</v>
          </cell>
          <cell r="C238">
            <v>2021</v>
          </cell>
          <cell r="F238" t="str">
            <v>Data Scientist</v>
          </cell>
          <cell r="I238">
            <v>103691</v>
          </cell>
          <cell r="N238" t="str">
            <v>Full-Time</v>
          </cell>
          <cell r="O238" t="str">
            <v>Large</v>
          </cell>
          <cell r="Q238" t="str">
            <v>130000 C$</v>
          </cell>
          <cell r="R238" t="str">
            <v>Canada</v>
          </cell>
          <cell r="S238" t="str">
            <v>Canada</v>
          </cell>
          <cell r="Y238" t="str">
            <v>Senior-Level</v>
          </cell>
        </row>
        <row r="239">
          <cell r="B239">
            <v>236</v>
          </cell>
          <cell r="C239">
            <v>2021</v>
          </cell>
          <cell r="F239" t="str">
            <v>Data Scientist</v>
          </cell>
          <cell r="I239">
            <v>165000</v>
          </cell>
          <cell r="N239" t="str">
            <v>Full-Time</v>
          </cell>
          <cell r="O239" t="str">
            <v>Large</v>
          </cell>
          <cell r="Q239" t="str">
            <v>165000 $</v>
          </cell>
          <cell r="R239" t="str">
            <v>United States</v>
          </cell>
          <cell r="S239" t="str">
            <v>United States</v>
          </cell>
          <cell r="Y239" t="str">
            <v>Entry-Level</v>
          </cell>
        </row>
        <row r="240">
          <cell r="B240">
            <v>237</v>
          </cell>
          <cell r="C240">
            <v>2021</v>
          </cell>
          <cell r="F240" t="str">
            <v>AI Scientist</v>
          </cell>
          <cell r="I240">
            <v>18053</v>
          </cell>
          <cell r="N240" t="str">
            <v>Full-Time</v>
          </cell>
          <cell r="O240" t="str">
            <v>Small</v>
          </cell>
          <cell r="Q240" t="str">
            <v>1335000 ₹</v>
          </cell>
          <cell r="R240" t="str">
            <v>India</v>
          </cell>
          <cell r="S240" t="str">
            <v>American Samoa</v>
          </cell>
          <cell r="Y240" t="str">
            <v>Mid-Level</v>
          </cell>
        </row>
        <row r="241">
          <cell r="B241">
            <v>238</v>
          </cell>
          <cell r="C241">
            <v>2021</v>
          </cell>
          <cell r="F241" t="str">
            <v>Data Engineer</v>
          </cell>
          <cell r="I241">
            <v>72212</v>
          </cell>
          <cell r="N241" t="str">
            <v>Full-Time</v>
          </cell>
          <cell r="O241" t="str">
            <v>Large</v>
          </cell>
          <cell r="Q241" t="str">
            <v>52500 £</v>
          </cell>
          <cell r="R241" t="str">
            <v>United Kingdom</v>
          </cell>
          <cell r="S241" t="str">
            <v>United Kingdom</v>
          </cell>
          <cell r="Y241" t="str">
            <v>Entry-Level</v>
          </cell>
        </row>
        <row r="242">
          <cell r="B242">
            <v>239</v>
          </cell>
          <cell r="C242">
            <v>2021</v>
          </cell>
          <cell r="F242" t="str">
            <v>Data Scientist</v>
          </cell>
          <cell r="I242">
            <v>36643</v>
          </cell>
          <cell r="N242" t="str">
            <v>Full-Time</v>
          </cell>
          <cell r="O242" t="str">
            <v>Large</v>
          </cell>
          <cell r="Q242" t="str">
            <v>31000 €</v>
          </cell>
          <cell r="R242" t="str">
            <v>France</v>
          </cell>
          <cell r="S242" t="str">
            <v>France</v>
          </cell>
          <cell r="Y242" t="str">
            <v>Mid-Level</v>
          </cell>
        </row>
        <row r="243">
          <cell r="B243">
            <v>240</v>
          </cell>
          <cell r="C243">
            <v>2021</v>
          </cell>
          <cell r="F243" t="str">
            <v>Data Engineer</v>
          </cell>
          <cell r="I243">
            <v>12103</v>
          </cell>
          <cell r="N243" t="str">
            <v>Full-Time</v>
          </cell>
          <cell r="O243" t="str">
            <v>Contract</v>
          </cell>
          <cell r="Q243" t="str">
            <v>108000 ₺</v>
          </cell>
          <cell r="R243" t="str">
            <v>Türkiye (Turkey)</v>
          </cell>
          <cell r="S243" t="str">
            <v>Turkey (Türkiye)</v>
          </cell>
          <cell r="Y243" t="str">
            <v>Senior-Level</v>
          </cell>
        </row>
        <row r="244">
          <cell r="B244">
            <v>241</v>
          </cell>
          <cell r="C244">
            <v>2021</v>
          </cell>
          <cell r="F244" t="str">
            <v>Data Engineer</v>
          </cell>
          <cell r="I244">
            <v>96282</v>
          </cell>
          <cell r="N244" t="str">
            <v>Full-Time</v>
          </cell>
          <cell r="O244" t="str">
            <v>Large</v>
          </cell>
          <cell r="Q244" t="str">
            <v>70000 £</v>
          </cell>
          <cell r="R244" t="str">
            <v>United Kingdom</v>
          </cell>
          <cell r="S244" t="str">
            <v>United Kingdom</v>
          </cell>
          <cell r="Y244" t="str">
            <v>Senior-Level</v>
          </cell>
        </row>
        <row r="245">
          <cell r="B245">
            <v>242</v>
          </cell>
          <cell r="C245">
            <v>2021</v>
          </cell>
          <cell r="F245" t="str">
            <v>Principal Data Analyst</v>
          </cell>
          <cell r="I245">
            <v>170000</v>
          </cell>
          <cell r="N245" t="str">
            <v>Full-Time</v>
          </cell>
          <cell r="O245" t="str">
            <v>Contract</v>
          </cell>
          <cell r="Q245" t="str">
            <v>170000 $</v>
          </cell>
          <cell r="R245" t="str">
            <v>United States</v>
          </cell>
          <cell r="S245" t="str">
            <v>United States</v>
          </cell>
          <cell r="Y245" t="str">
            <v>Mid-Level</v>
          </cell>
        </row>
        <row r="246">
          <cell r="B246">
            <v>243</v>
          </cell>
          <cell r="C246">
            <v>2021</v>
          </cell>
          <cell r="F246" t="str">
            <v>Data Scientist</v>
          </cell>
          <cell r="I246">
            <v>115000</v>
          </cell>
          <cell r="N246" t="str">
            <v>Full-Time</v>
          </cell>
          <cell r="O246" t="str">
            <v>Large</v>
          </cell>
          <cell r="Q246" t="str">
            <v>115000 $</v>
          </cell>
          <cell r="R246" t="str">
            <v>United States</v>
          </cell>
          <cell r="S246" t="str">
            <v>United States</v>
          </cell>
          <cell r="Y246" t="str">
            <v>Entry-Level</v>
          </cell>
        </row>
        <row r="247">
          <cell r="B247">
            <v>244</v>
          </cell>
          <cell r="C247">
            <v>2021</v>
          </cell>
          <cell r="F247" t="str">
            <v>Data Scientist</v>
          </cell>
          <cell r="I247">
            <v>90000</v>
          </cell>
          <cell r="N247" t="str">
            <v>Full-Time</v>
          </cell>
          <cell r="O247" t="str">
            <v>Small</v>
          </cell>
          <cell r="Q247" t="str">
            <v>90000 $</v>
          </cell>
          <cell r="R247" t="str">
            <v>United States</v>
          </cell>
          <cell r="S247" t="str">
            <v>United States</v>
          </cell>
          <cell r="Y247" t="str">
            <v>Executive</v>
          </cell>
        </row>
        <row r="248">
          <cell r="B248">
            <v>245</v>
          </cell>
          <cell r="C248">
            <v>2021</v>
          </cell>
          <cell r="F248" t="str">
            <v>Principal Data Engineer</v>
          </cell>
          <cell r="I248">
            <v>600000</v>
          </cell>
          <cell r="N248" t="str">
            <v>Full-Time</v>
          </cell>
          <cell r="O248" t="str">
            <v>Large</v>
          </cell>
          <cell r="Q248" t="str">
            <v>600000 $</v>
          </cell>
          <cell r="R248" t="str">
            <v>United States</v>
          </cell>
          <cell r="S248" t="str">
            <v>United States</v>
          </cell>
          <cell r="Y248" t="str">
            <v>Entry-Level</v>
          </cell>
        </row>
        <row r="249">
          <cell r="B249">
            <v>246</v>
          </cell>
          <cell r="C249">
            <v>2021</v>
          </cell>
          <cell r="F249" t="str">
            <v>Data Scientist</v>
          </cell>
          <cell r="I249">
            <v>28399</v>
          </cell>
          <cell r="N249" t="str">
            <v>Full-Time</v>
          </cell>
          <cell r="O249" t="str">
            <v>Contract</v>
          </cell>
          <cell r="Q249" t="str">
            <v>2100000 ₹</v>
          </cell>
          <cell r="R249" t="str">
            <v>India</v>
          </cell>
          <cell r="S249" t="str">
            <v>India</v>
          </cell>
          <cell r="Y249" t="str">
            <v>Mid-Level</v>
          </cell>
        </row>
        <row r="250">
          <cell r="B250">
            <v>247</v>
          </cell>
          <cell r="C250">
            <v>2021</v>
          </cell>
          <cell r="F250" t="str">
            <v>Data Analyst</v>
          </cell>
          <cell r="I250">
            <v>93000</v>
          </cell>
          <cell r="N250" t="str">
            <v>Full-Time</v>
          </cell>
          <cell r="O250" t="str">
            <v>Large</v>
          </cell>
          <cell r="Q250" t="str">
            <v>93000 $</v>
          </cell>
          <cell r="R250" t="str">
            <v>United States</v>
          </cell>
          <cell r="S250" t="str">
            <v>United States</v>
          </cell>
          <cell r="Y250" t="str">
            <v>Senior-Level</v>
          </cell>
        </row>
        <row r="251">
          <cell r="B251">
            <v>248</v>
          </cell>
          <cell r="C251">
            <v>2021</v>
          </cell>
          <cell r="F251" t="str">
            <v>Big Data Architect</v>
          </cell>
          <cell r="I251">
            <v>99703</v>
          </cell>
          <cell r="N251" t="str">
            <v>Full-Time</v>
          </cell>
          <cell r="O251" t="str">
            <v>Contract</v>
          </cell>
          <cell r="Q251" t="str">
            <v>125000 C$</v>
          </cell>
          <cell r="R251" t="str">
            <v>Canada</v>
          </cell>
          <cell r="S251" t="str">
            <v>Canada</v>
          </cell>
          <cell r="Y251" t="str">
            <v>Senior-Level</v>
          </cell>
        </row>
        <row r="252">
          <cell r="B252">
            <v>249</v>
          </cell>
          <cell r="C252">
            <v>2021</v>
          </cell>
          <cell r="F252" t="str">
            <v>Principal Data Scientist</v>
          </cell>
          <cell r="I252">
            <v>173762</v>
          </cell>
          <cell r="N252" t="str">
            <v>Full-Time</v>
          </cell>
          <cell r="O252" t="str">
            <v>Contract</v>
          </cell>
          <cell r="Q252" t="str">
            <v>147000 €</v>
          </cell>
          <cell r="R252" t="str">
            <v>Germany</v>
          </cell>
          <cell r="S252" t="str">
            <v>Germany</v>
          </cell>
          <cell r="Y252" t="str">
            <v>Senior-Level</v>
          </cell>
        </row>
        <row r="253">
          <cell r="B253">
            <v>250</v>
          </cell>
          <cell r="C253">
            <v>2021</v>
          </cell>
          <cell r="F253" t="str">
            <v>Machine Learning Engineer</v>
          </cell>
          <cell r="I253">
            <v>185000</v>
          </cell>
          <cell r="N253" t="str">
            <v>Full-Time</v>
          </cell>
          <cell r="O253" t="str">
            <v>Large</v>
          </cell>
          <cell r="Q253" t="str">
            <v>185000 $</v>
          </cell>
          <cell r="R253" t="str">
            <v>United States</v>
          </cell>
          <cell r="S253" t="str">
            <v>United States</v>
          </cell>
          <cell r="Y253" t="str">
            <v>Executive</v>
          </cell>
        </row>
        <row r="254">
          <cell r="B254">
            <v>251</v>
          </cell>
          <cell r="C254">
            <v>2021</v>
          </cell>
          <cell r="F254" t="str">
            <v>Director of Data Science</v>
          </cell>
          <cell r="I254">
            <v>141846</v>
          </cell>
          <cell r="N254" t="str">
            <v>Full-Time</v>
          </cell>
          <cell r="O254" t="str">
            <v>Large</v>
          </cell>
          <cell r="Q254" t="str">
            <v>120000 €</v>
          </cell>
          <cell r="R254" t="str">
            <v>Germany</v>
          </cell>
          <cell r="S254" t="str">
            <v>Germany</v>
          </cell>
          <cell r="Y254" t="str">
            <v>Mid-Level</v>
          </cell>
        </row>
        <row r="255">
          <cell r="B255">
            <v>252</v>
          </cell>
          <cell r="C255">
            <v>2021</v>
          </cell>
          <cell r="F255" t="str">
            <v>Data Scientist</v>
          </cell>
          <cell r="I255">
            <v>130000</v>
          </cell>
          <cell r="N255" t="str">
            <v>Full-Time</v>
          </cell>
          <cell r="O255" t="str">
            <v>Large</v>
          </cell>
          <cell r="Q255" t="str">
            <v>130000 $</v>
          </cell>
          <cell r="R255" t="str">
            <v>United States</v>
          </cell>
          <cell r="S255" t="str">
            <v>United States</v>
          </cell>
          <cell r="Y255" t="str">
            <v>Senior-Level</v>
          </cell>
        </row>
        <row r="256">
          <cell r="B256">
            <v>253</v>
          </cell>
          <cell r="C256">
            <v>2021</v>
          </cell>
          <cell r="F256" t="str">
            <v>Data Analyst</v>
          </cell>
          <cell r="I256">
            <v>63831</v>
          </cell>
          <cell r="N256" t="str">
            <v>Full-Time</v>
          </cell>
          <cell r="O256" t="str">
            <v>Large</v>
          </cell>
          <cell r="Q256" t="str">
            <v>54000 €</v>
          </cell>
          <cell r="R256" t="str">
            <v>Germany</v>
          </cell>
          <cell r="S256" t="str">
            <v>Germany</v>
          </cell>
          <cell r="Y256" t="str">
            <v>Mid-Level</v>
          </cell>
        </row>
        <row r="257">
          <cell r="B257">
            <v>254</v>
          </cell>
          <cell r="C257">
            <v>2021</v>
          </cell>
          <cell r="F257" t="str">
            <v>Data Scientist</v>
          </cell>
          <cell r="I257">
            <v>16904</v>
          </cell>
          <cell r="N257" t="str">
            <v>Full-Time</v>
          </cell>
          <cell r="O257" t="str">
            <v>Small</v>
          </cell>
          <cell r="Q257" t="str">
            <v>1250000 ₹</v>
          </cell>
          <cell r="R257" t="str">
            <v>India</v>
          </cell>
          <cell r="S257" t="str">
            <v>India</v>
          </cell>
          <cell r="Y257" t="str">
            <v>Senior-Level</v>
          </cell>
        </row>
        <row r="258">
          <cell r="B258">
            <v>255</v>
          </cell>
          <cell r="C258">
            <v>2021</v>
          </cell>
          <cell r="F258" t="str">
            <v>Machine Learning Engineer</v>
          </cell>
          <cell r="I258">
            <v>66265</v>
          </cell>
          <cell r="N258" t="str">
            <v>Full-Time</v>
          </cell>
          <cell r="O258" t="str">
            <v>Large</v>
          </cell>
          <cell r="Q258" t="str">
            <v>4900000 ₹</v>
          </cell>
          <cell r="R258" t="str">
            <v>India</v>
          </cell>
          <cell r="S258" t="str">
            <v>India</v>
          </cell>
          <cell r="Y258" t="str">
            <v>Mid-Level</v>
          </cell>
        </row>
        <row r="259">
          <cell r="B259">
            <v>256</v>
          </cell>
          <cell r="C259">
            <v>2021</v>
          </cell>
          <cell r="F259" t="str">
            <v>Data Scientist</v>
          </cell>
          <cell r="I259">
            <v>25532</v>
          </cell>
          <cell r="N259" t="str">
            <v>Full-Time</v>
          </cell>
          <cell r="O259" t="str">
            <v>Small</v>
          </cell>
          <cell r="Q259" t="str">
            <v>21600 €</v>
          </cell>
          <cell r="R259" t="str">
            <v>Serbia</v>
          </cell>
          <cell r="S259" t="str">
            <v>Germany</v>
          </cell>
          <cell r="Y259" t="str">
            <v>Senior-Level</v>
          </cell>
        </row>
        <row r="260">
          <cell r="B260">
            <v>257</v>
          </cell>
          <cell r="C260">
            <v>2021</v>
          </cell>
          <cell r="F260" t="str">
            <v>Lead Data Engineer</v>
          </cell>
          <cell r="I260">
            <v>160000</v>
          </cell>
          <cell r="N260" t="str">
            <v>Full-Time</v>
          </cell>
          <cell r="O260" t="str">
            <v>Small</v>
          </cell>
          <cell r="Q260" t="str">
            <v>160000 $</v>
          </cell>
          <cell r="R260" t="str">
            <v>Puerto Rico</v>
          </cell>
          <cell r="S260" t="str">
            <v>United States</v>
          </cell>
          <cell r="Y260" t="str">
            <v>Mid-Level</v>
          </cell>
        </row>
        <row r="261">
          <cell r="B261">
            <v>258</v>
          </cell>
          <cell r="C261">
            <v>2021</v>
          </cell>
          <cell r="F261" t="str">
            <v>Data Engineer</v>
          </cell>
          <cell r="I261">
            <v>93150</v>
          </cell>
          <cell r="N261" t="str">
            <v>Full-Time</v>
          </cell>
          <cell r="O261" t="str">
            <v>Contract</v>
          </cell>
          <cell r="Q261" t="str">
            <v>93150 $</v>
          </cell>
          <cell r="R261" t="str">
            <v>United States</v>
          </cell>
          <cell r="S261" t="str">
            <v>United States</v>
          </cell>
          <cell r="Y261" t="str">
            <v>Mid-Level</v>
          </cell>
        </row>
        <row r="262">
          <cell r="B262">
            <v>259</v>
          </cell>
          <cell r="C262">
            <v>2021</v>
          </cell>
          <cell r="F262" t="str">
            <v>Data Engineer</v>
          </cell>
          <cell r="I262">
            <v>111775</v>
          </cell>
          <cell r="N262" t="str">
            <v>Full-Time</v>
          </cell>
          <cell r="O262" t="str">
            <v>Contract</v>
          </cell>
          <cell r="Q262" t="str">
            <v>111775 $</v>
          </cell>
          <cell r="R262" t="str">
            <v>United States</v>
          </cell>
          <cell r="S262" t="str">
            <v>United States</v>
          </cell>
          <cell r="Y262" t="str">
            <v>Mid-Level</v>
          </cell>
        </row>
        <row r="263">
          <cell r="B263">
            <v>260</v>
          </cell>
          <cell r="C263">
            <v>2021</v>
          </cell>
          <cell r="F263" t="str">
            <v>Data Engineer</v>
          </cell>
          <cell r="I263">
            <v>28016</v>
          </cell>
          <cell r="N263" t="str">
            <v>Full-Time</v>
          </cell>
          <cell r="O263" t="str">
            <v>Contract</v>
          </cell>
          <cell r="Q263" t="str">
            <v>250000 ₺</v>
          </cell>
          <cell r="R263" t="str">
            <v>Türkiye (Turkey)</v>
          </cell>
          <cell r="S263" t="str">
            <v>Turkey (Türkiye)</v>
          </cell>
          <cell r="Y263" t="str">
            <v>Entry-Level</v>
          </cell>
        </row>
        <row r="264">
          <cell r="B264">
            <v>261</v>
          </cell>
          <cell r="C264">
            <v>2021</v>
          </cell>
          <cell r="F264" t="str">
            <v>Data Engineer</v>
          </cell>
          <cell r="I264">
            <v>65013</v>
          </cell>
          <cell r="N264" t="str">
            <v>Full-Time</v>
          </cell>
          <cell r="O264" t="str">
            <v>Contract</v>
          </cell>
          <cell r="Q264" t="str">
            <v>55000 €</v>
          </cell>
          <cell r="R264" t="str">
            <v>Germany</v>
          </cell>
          <cell r="S264" t="str">
            <v>Germany</v>
          </cell>
          <cell r="Y264" t="str">
            <v>Entry-Level</v>
          </cell>
        </row>
        <row r="265">
          <cell r="B265">
            <v>262</v>
          </cell>
          <cell r="C265">
            <v>2021</v>
          </cell>
          <cell r="F265" t="str">
            <v>Data Engineer</v>
          </cell>
          <cell r="I265">
            <v>72500</v>
          </cell>
          <cell r="N265" t="str">
            <v>Full-Time</v>
          </cell>
          <cell r="O265" t="str">
            <v>Large</v>
          </cell>
          <cell r="Q265" t="str">
            <v>72500 $</v>
          </cell>
          <cell r="R265" t="str">
            <v>United States</v>
          </cell>
          <cell r="S265" t="str">
            <v>United States</v>
          </cell>
          <cell r="Y265" t="str">
            <v>Senior-Level</v>
          </cell>
        </row>
        <row r="266">
          <cell r="B266">
            <v>263</v>
          </cell>
          <cell r="C266">
            <v>2021</v>
          </cell>
          <cell r="F266" t="str">
            <v>Computer Vision Engineer</v>
          </cell>
          <cell r="I266">
            <v>18907</v>
          </cell>
          <cell r="N266" t="str">
            <v>Full-Time</v>
          </cell>
          <cell r="O266" t="str">
            <v>Contract</v>
          </cell>
          <cell r="Q266" t="str">
            <v>102000 R$</v>
          </cell>
          <cell r="R266" t="str">
            <v>Brazil</v>
          </cell>
          <cell r="S266" t="str">
            <v>Brazil</v>
          </cell>
          <cell r="Y266" t="str">
            <v>Entry-Level</v>
          </cell>
        </row>
        <row r="267">
          <cell r="B267">
            <v>264</v>
          </cell>
          <cell r="C267">
            <v>2021</v>
          </cell>
          <cell r="F267" t="str">
            <v>Machine Learning Engineer</v>
          </cell>
          <cell r="I267">
            <v>85000</v>
          </cell>
          <cell r="N267" t="str">
            <v>Full-Time</v>
          </cell>
          <cell r="O267" t="str">
            <v>Small</v>
          </cell>
          <cell r="Q267" t="str">
            <v>85000 $</v>
          </cell>
          <cell r="R267" t="str">
            <v>Netherlands</v>
          </cell>
          <cell r="S267" t="str">
            <v>Germany</v>
          </cell>
          <cell r="Y267" t="str">
            <v>Senior-Level</v>
          </cell>
        </row>
        <row r="268">
          <cell r="B268">
            <v>265</v>
          </cell>
          <cell r="C268">
            <v>2021</v>
          </cell>
          <cell r="F268" t="str">
            <v>Data Scientist</v>
          </cell>
          <cell r="I268">
            <v>77684</v>
          </cell>
          <cell r="N268" t="str">
            <v>Full-Time</v>
          </cell>
          <cell r="O268" t="str">
            <v>Contract</v>
          </cell>
          <cell r="Q268" t="str">
            <v>65720 €</v>
          </cell>
          <cell r="R268" t="str">
            <v>France</v>
          </cell>
          <cell r="S268" t="str">
            <v>France</v>
          </cell>
          <cell r="Y268" t="str">
            <v>Entry-Level</v>
          </cell>
        </row>
        <row r="269">
          <cell r="B269">
            <v>266</v>
          </cell>
          <cell r="C269">
            <v>2021</v>
          </cell>
          <cell r="F269" t="str">
            <v>Data Scientist</v>
          </cell>
          <cell r="I269">
            <v>58000</v>
          </cell>
          <cell r="N269" t="str">
            <v>Full-Time</v>
          </cell>
          <cell r="O269" t="str">
            <v>Large</v>
          </cell>
          <cell r="Q269" t="str">
            <v>58000 $</v>
          </cell>
          <cell r="R269" t="str">
            <v>United States</v>
          </cell>
          <cell r="S269" t="str">
            <v>United States</v>
          </cell>
          <cell r="Y269" t="str">
            <v>Senior-Level</v>
          </cell>
        </row>
        <row r="270">
          <cell r="B270">
            <v>267</v>
          </cell>
          <cell r="C270">
            <v>2021</v>
          </cell>
          <cell r="F270" t="str">
            <v>AI Scientist</v>
          </cell>
          <cell r="I270">
            <v>55000</v>
          </cell>
          <cell r="N270" t="str">
            <v>Full-Time</v>
          </cell>
          <cell r="O270" t="str">
            <v>Large</v>
          </cell>
          <cell r="Q270" t="str">
            <v>55000 $</v>
          </cell>
          <cell r="R270" t="str">
            <v>Spain</v>
          </cell>
          <cell r="S270" t="str">
            <v>Spain</v>
          </cell>
          <cell r="Y270" t="str">
            <v>Senior-Level</v>
          </cell>
        </row>
        <row r="271">
          <cell r="B271">
            <v>268</v>
          </cell>
          <cell r="C271">
            <v>2021</v>
          </cell>
          <cell r="F271" t="str">
            <v>Data Scientist</v>
          </cell>
          <cell r="I271">
            <v>20171</v>
          </cell>
          <cell r="N271" t="str">
            <v>Full-Time</v>
          </cell>
          <cell r="O271" t="str">
            <v>Large</v>
          </cell>
          <cell r="Q271" t="str">
            <v>180000 ₺</v>
          </cell>
          <cell r="R271" t="str">
            <v>Türkiye (Turkey)</v>
          </cell>
          <cell r="S271" t="str">
            <v>Turkey (Türkiye)</v>
          </cell>
          <cell r="Y271" t="str">
            <v>Entry-Level</v>
          </cell>
        </row>
        <row r="272">
          <cell r="B272">
            <v>269</v>
          </cell>
          <cell r="C272">
            <v>2021</v>
          </cell>
          <cell r="F272" t="str">
            <v>Business Data Analyst</v>
          </cell>
          <cell r="I272">
            <v>59102</v>
          </cell>
          <cell r="N272" t="str">
            <v>Full-Time</v>
          </cell>
          <cell r="O272" t="str">
            <v>Large</v>
          </cell>
          <cell r="Q272" t="str">
            <v>50000 €</v>
          </cell>
          <cell r="R272" t="str">
            <v>Luxembourg</v>
          </cell>
          <cell r="S272" t="str">
            <v>Luxembourg</v>
          </cell>
          <cell r="Y272" t="str">
            <v>Mid-Level</v>
          </cell>
        </row>
        <row r="273">
          <cell r="B273">
            <v>270</v>
          </cell>
          <cell r="C273">
            <v>2021</v>
          </cell>
          <cell r="F273" t="str">
            <v>Data Engineer</v>
          </cell>
          <cell r="I273">
            <v>112000</v>
          </cell>
          <cell r="N273" t="str">
            <v>Full-Time</v>
          </cell>
          <cell r="O273" t="str">
            <v>Large</v>
          </cell>
          <cell r="Q273" t="str">
            <v>112000 $</v>
          </cell>
          <cell r="R273" t="str">
            <v>United States</v>
          </cell>
          <cell r="S273" t="str">
            <v>United States</v>
          </cell>
          <cell r="Y273" t="str">
            <v>Entry-Level</v>
          </cell>
        </row>
        <row r="274">
          <cell r="B274">
            <v>271</v>
          </cell>
          <cell r="C274">
            <v>2021</v>
          </cell>
          <cell r="F274" t="str">
            <v>Research Scientist</v>
          </cell>
          <cell r="I274">
            <v>100000</v>
          </cell>
          <cell r="N274" t="str">
            <v>Full-Time</v>
          </cell>
          <cell r="O274" t="str">
            <v>Large</v>
          </cell>
          <cell r="Q274" t="str">
            <v>100000 $</v>
          </cell>
          <cell r="R274" t="str">
            <v>Jersey</v>
          </cell>
          <cell r="S274" t="str">
            <v>China</v>
          </cell>
          <cell r="Y274" t="str">
            <v>Mid-Level</v>
          </cell>
        </row>
        <row r="275">
          <cell r="B275">
            <v>272</v>
          </cell>
          <cell r="C275">
            <v>2021</v>
          </cell>
          <cell r="F275" t="str">
            <v>Data Engineer</v>
          </cell>
          <cell r="I275">
            <v>69741</v>
          </cell>
          <cell r="N275" t="str">
            <v>Part-Time</v>
          </cell>
          <cell r="O275" t="str">
            <v>Large</v>
          </cell>
          <cell r="Q275" t="str">
            <v>59000 €</v>
          </cell>
          <cell r="R275" t="str">
            <v>Netherlands</v>
          </cell>
          <cell r="S275" t="str">
            <v>Netherlands</v>
          </cell>
          <cell r="Y275" t="str">
            <v>Senior-Level</v>
          </cell>
        </row>
        <row r="276">
          <cell r="B276">
            <v>273</v>
          </cell>
          <cell r="C276">
            <v>2021</v>
          </cell>
          <cell r="F276" t="str">
            <v>Staff Data Scientist</v>
          </cell>
          <cell r="I276">
            <v>105000</v>
          </cell>
          <cell r="N276" t="str">
            <v>Contract</v>
          </cell>
          <cell r="O276" t="str">
            <v>Contract</v>
          </cell>
          <cell r="Q276" t="str">
            <v>105000 $</v>
          </cell>
          <cell r="R276" t="str">
            <v>United States</v>
          </cell>
          <cell r="S276" t="str">
            <v>United States</v>
          </cell>
          <cell r="Y276" t="str">
            <v>Mid-Level</v>
          </cell>
        </row>
        <row r="277">
          <cell r="B277">
            <v>274</v>
          </cell>
          <cell r="C277">
            <v>2021</v>
          </cell>
          <cell r="F277" t="str">
            <v>Research Scientist</v>
          </cell>
          <cell r="I277">
            <v>69999</v>
          </cell>
          <cell r="N277" t="str">
            <v>Full-Time</v>
          </cell>
          <cell r="O277" t="str">
            <v>Large</v>
          </cell>
          <cell r="Q277" t="str">
            <v>69999 $</v>
          </cell>
          <cell r="R277" t="str">
            <v>Czech Republic</v>
          </cell>
          <cell r="S277" t="str">
            <v>Czech Republic</v>
          </cell>
          <cell r="Y277" t="str">
            <v>Senior-Level</v>
          </cell>
        </row>
        <row r="278">
          <cell r="B278">
            <v>275</v>
          </cell>
          <cell r="C278">
            <v>2021</v>
          </cell>
          <cell r="F278" t="str">
            <v>Data Science Manager</v>
          </cell>
          <cell r="I278">
            <v>94665</v>
          </cell>
          <cell r="N278" t="str">
            <v>Full-Time</v>
          </cell>
          <cell r="O278" t="str">
            <v>Large</v>
          </cell>
          <cell r="Q278" t="str">
            <v>7000000 ₹</v>
          </cell>
          <cell r="R278" t="str">
            <v>India</v>
          </cell>
          <cell r="S278" t="str">
            <v>India</v>
          </cell>
          <cell r="Y278" t="str">
            <v>Senior-Level</v>
          </cell>
        </row>
        <row r="279">
          <cell r="B279">
            <v>276</v>
          </cell>
          <cell r="C279">
            <v>2021</v>
          </cell>
          <cell r="F279" t="str">
            <v>Head of Data</v>
          </cell>
          <cell r="I279">
            <v>102839</v>
          </cell>
          <cell r="N279" t="str">
            <v>Full-Time</v>
          </cell>
          <cell r="O279" t="str">
            <v>Large</v>
          </cell>
          <cell r="Q279" t="str">
            <v>87000 €</v>
          </cell>
          <cell r="R279" t="str">
            <v>Slovenia</v>
          </cell>
          <cell r="S279" t="str">
            <v>Slovenia</v>
          </cell>
          <cell r="Y279" t="str">
            <v>Mid-Level</v>
          </cell>
        </row>
        <row r="280">
          <cell r="B280">
            <v>277</v>
          </cell>
          <cell r="C280">
            <v>2021</v>
          </cell>
          <cell r="F280" t="str">
            <v>Data Scientist</v>
          </cell>
          <cell r="I280">
            <v>109000</v>
          </cell>
          <cell r="N280" t="str">
            <v>Full-Time</v>
          </cell>
          <cell r="O280" t="str">
            <v>Large</v>
          </cell>
          <cell r="Q280" t="str">
            <v>109000 $</v>
          </cell>
          <cell r="R280" t="str">
            <v>United States</v>
          </cell>
          <cell r="S280" t="str">
            <v>United States</v>
          </cell>
          <cell r="Y280" t="str">
            <v>Mid-Level</v>
          </cell>
        </row>
        <row r="281">
          <cell r="B281">
            <v>278</v>
          </cell>
          <cell r="C281">
            <v>2021</v>
          </cell>
          <cell r="F281" t="str">
            <v>Machine Learning Engineer</v>
          </cell>
          <cell r="I281">
            <v>51064</v>
          </cell>
          <cell r="N281" t="str">
            <v>Full-Time</v>
          </cell>
          <cell r="O281" t="str">
            <v>Large</v>
          </cell>
          <cell r="Q281" t="str">
            <v>43200 €</v>
          </cell>
          <cell r="R281" t="str">
            <v>Italy</v>
          </cell>
          <cell r="S281" t="str">
            <v>Italy</v>
          </cell>
          <cell r="Y281" t="str">
            <v>Senior-Level</v>
          </cell>
        </row>
        <row r="282">
          <cell r="B282">
            <v>279</v>
          </cell>
          <cell r="C282">
            <v>2022</v>
          </cell>
          <cell r="F282" t="str">
            <v>Data Engineer</v>
          </cell>
          <cell r="I282">
            <v>135000</v>
          </cell>
          <cell r="N282" t="str">
            <v>Full-Time</v>
          </cell>
          <cell r="O282" t="str">
            <v>Contract</v>
          </cell>
          <cell r="Q282" t="str">
            <v>135000 $</v>
          </cell>
          <cell r="R282" t="str">
            <v>United States</v>
          </cell>
          <cell r="S282" t="str">
            <v>United States</v>
          </cell>
          <cell r="Y282" t="str">
            <v>Senior-Level</v>
          </cell>
        </row>
        <row r="283">
          <cell r="B283">
            <v>280</v>
          </cell>
          <cell r="C283">
            <v>2022</v>
          </cell>
          <cell r="F283" t="str">
            <v>Data Analyst</v>
          </cell>
          <cell r="I283">
            <v>155000</v>
          </cell>
          <cell r="N283" t="str">
            <v>Full-Time</v>
          </cell>
          <cell r="O283" t="str">
            <v>Contract</v>
          </cell>
          <cell r="Q283" t="str">
            <v>155000 $</v>
          </cell>
          <cell r="R283" t="str">
            <v>United States</v>
          </cell>
          <cell r="S283" t="str">
            <v>United States</v>
          </cell>
          <cell r="Y283" t="str">
            <v>Senior-Level</v>
          </cell>
        </row>
        <row r="284">
          <cell r="B284">
            <v>281</v>
          </cell>
          <cell r="C284">
            <v>2022</v>
          </cell>
          <cell r="F284" t="str">
            <v>Data Analyst</v>
          </cell>
          <cell r="I284">
            <v>120600</v>
          </cell>
          <cell r="N284" t="str">
            <v>Full-Time</v>
          </cell>
          <cell r="O284" t="str">
            <v>Contract</v>
          </cell>
          <cell r="Q284" t="str">
            <v>120600 $</v>
          </cell>
          <cell r="R284" t="str">
            <v>United States</v>
          </cell>
          <cell r="S284" t="str">
            <v>United States</v>
          </cell>
          <cell r="Y284" t="str">
            <v>Mid-Level</v>
          </cell>
        </row>
        <row r="285">
          <cell r="B285">
            <v>282</v>
          </cell>
          <cell r="C285">
            <v>2022</v>
          </cell>
          <cell r="F285" t="str">
            <v>Data Engineer</v>
          </cell>
          <cell r="I285">
            <v>170000</v>
          </cell>
          <cell r="N285" t="str">
            <v>Full-Time</v>
          </cell>
          <cell r="O285" t="str">
            <v>Contract</v>
          </cell>
          <cell r="Q285" t="str">
            <v>170000 $</v>
          </cell>
          <cell r="R285" t="str">
            <v>United States</v>
          </cell>
          <cell r="S285" t="str">
            <v>United States</v>
          </cell>
          <cell r="Y285" t="str">
            <v>Senior-Level</v>
          </cell>
        </row>
        <row r="286">
          <cell r="B286">
            <v>283</v>
          </cell>
          <cell r="C286">
            <v>2022</v>
          </cell>
          <cell r="F286" t="str">
            <v>Data Analyst</v>
          </cell>
          <cell r="I286">
            <v>102100</v>
          </cell>
          <cell r="N286" t="str">
            <v>Full-Time</v>
          </cell>
          <cell r="O286" t="str">
            <v>Contract</v>
          </cell>
          <cell r="Q286" t="str">
            <v>102100 $</v>
          </cell>
          <cell r="R286" t="str">
            <v>United States</v>
          </cell>
          <cell r="S286" t="str">
            <v>United States</v>
          </cell>
          <cell r="Y286" t="str">
            <v>Senior-Level</v>
          </cell>
        </row>
        <row r="287">
          <cell r="B287">
            <v>284</v>
          </cell>
          <cell r="C287">
            <v>2022</v>
          </cell>
          <cell r="F287" t="str">
            <v>Data Analyst</v>
          </cell>
          <cell r="I287">
            <v>84900</v>
          </cell>
          <cell r="N287" t="str">
            <v>Full-Time</v>
          </cell>
          <cell r="O287" t="str">
            <v>Contract</v>
          </cell>
          <cell r="Q287" t="str">
            <v>84900 $</v>
          </cell>
          <cell r="R287" t="str">
            <v>United States</v>
          </cell>
          <cell r="S287" t="str">
            <v>United States</v>
          </cell>
          <cell r="Y287" t="str">
            <v>Senior-Level</v>
          </cell>
        </row>
        <row r="288">
          <cell r="B288">
            <v>285</v>
          </cell>
          <cell r="C288">
            <v>2022</v>
          </cell>
          <cell r="F288" t="str">
            <v>Data Scientist</v>
          </cell>
          <cell r="I288">
            <v>136620</v>
          </cell>
          <cell r="N288" t="str">
            <v>Full-Time</v>
          </cell>
          <cell r="O288" t="str">
            <v>Contract</v>
          </cell>
          <cell r="Q288" t="str">
            <v>136620 $</v>
          </cell>
          <cell r="R288" t="str">
            <v>United States</v>
          </cell>
          <cell r="S288" t="str">
            <v>United States</v>
          </cell>
          <cell r="Y288" t="str">
            <v>Senior-Level</v>
          </cell>
        </row>
        <row r="289">
          <cell r="B289">
            <v>286</v>
          </cell>
          <cell r="C289">
            <v>2022</v>
          </cell>
          <cell r="F289" t="str">
            <v>Data Scientist</v>
          </cell>
          <cell r="I289">
            <v>99360</v>
          </cell>
          <cell r="N289" t="str">
            <v>Full-Time</v>
          </cell>
          <cell r="O289" t="str">
            <v>Contract</v>
          </cell>
          <cell r="Q289" t="str">
            <v>99360 $</v>
          </cell>
          <cell r="R289" t="str">
            <v>United States</v>
          </cell>
          <cell r="S289" t="str">
            <v>United States</v>
          </cell>
          <cell r="Y289" t="str">
            <v>Senior-Level</v>
          </cell>
        </row>
        <row r="290">
          <cell r="B290">
            <v>287</v>
          </cell>
          <cell r="C290">
            <v>2022</v>
          </cell>
          <cell r="F290" t="str">
            <v>Data Scientist</v>
          </cell>
          <cell r="I290">
            <v>117789</v>
          </cell>
          <cell r="N290" t="str">
            <v>Full-Time</v>
          </cell>
          <cell r="O290" t="str">
            <v>Contract</v>
          </cell>
          <cell r="Q290" t="str">
            <v>90000 £</v>
          </cell>
          <cell r="R290" t="str">
            <v>United Kingdom</v>
          </cell>
          <cell r="S290" t="str">
            <v>United Kingdom</v>
          </cell>
          <cell r="Y290" t="str">
            <v>Senior-Level</v>
          </cell>
        </row>
        <row r="291">
          <cell r="B291">
            <v>288</v>
          </cell>
          <cell r="C291">
            <v>2022</v>
          </cell>
          <cell r="F291" t="str">
            <v>Data Scientist</v>
          </cell>
          <cell r="I291">
            <v>104702</v>
          </cell>
          <cell r="N291" t="str">
            <v>Full-Time</v>
          </cell>
          <cell r="O291" t="str">
            <v>Contract</v>
          </cell>
          <cell r="Q291" t="str">
            <v>80000 £</v>
          </cell>
          <cell r="R291" t="str">
            <v>United Kingdom</v>
          </cell>
          <cell r="S291" t="str">
            <v>United Kingdom</v>
          </cell>
          <cell r="Y291" t="str">
            <v>Senior-Level</v>
          </cell>
        </row>
        <row r="292">
          <cell r="B292">
            <v>289</v>
          </cell>
          <cell r="C292">
            <v>2022</v>
          </cell>
          <cell r="F292" t="str">
            <v>Data Scientist</v>
          </cell>
          <cell r="I292">
            <v>146000</v>
          </cell>
          <cell r="N292" t="str">
            <v>Full-Time</v>
          </cell>
          <cell r="O292" t="str">
            <v>Contract</v>
          </cell>
          <cell r="Q292" t="str">
            <v>146000 $</v>
          </cell>
          <cell r="R292" t="str">
            <v>United States</v>
          </cell>
          <cell r="S292" t="str">
            <v>United States</v>
          </cell>
          <cell r="Y292" t="str">
            <v>Senior-Level</v>
          </cell>
        </row>
        <row r="293">
          <cell r="B293">
            <v>290</v>
          </cell>
          <cell r="C293">
            <v>2022</v>
          </cell>
          <cell r="F293" t="str">
            <v>Data Scientist</v>
          </cell>
          <cell r="I293">
            <v>123000</v>
          </cell>
          <cell r="N293" t="str">
            <v>Full-Time</v>
          </cell>
          <cell r="O293" t="str">
            <v>Contract</v>
          </cell>
          <cell r="Q293" t="str">
            <v>123000 $</v>
          </cell>
          <cell r="R293" t="str">
            <v>United States</v>
          </cell>
          <cell r="S293" t="str">
            <v>United States</v>
          </cell>
          <cell r="Y293" t="str">
            <v>Entry-Level</v>
          </cell>
        </row>
        <row r="294">
          <cell r="B294">
            <v>291</v>
          </cell>
          <cell r="C294">
            <v>2022</v>
          </cell>
          <cell r="F294" t="str">
            <v>Data Engineer</v>
          </cell>
          <cell r="I294">
            <v>52351</v>
          </cell>
          <cell r="N294" t="str">
            <v>Full-Time</v>
          </cell>
          <cell r="O294" t="str">
            <v>Contract</v>
          </cell>
          <cell r="Q294" t="str">
            <v>40000 £</v>
          </cell>
          <cell r="R294" t="str">
            <v>United Kingdom</v>
          </cell>
          <cell r="S294" t="str">
            <v>United Kingdom</v>
          </cell>
          <cell r="Y294" t="str">
            <v>Senior-Level</v>
          </cell>
        </row>
        <row r="295">
          <cell r="B295">
            <v>292</v>
          </cell>
          <cell r="C295">
            <v>2022</v>
          </cell>
          <cell r="F295" t="str">
            <v>Data Analyst</v>
          </cell>
          <cell r="I295">
            <v>99000</v>
          </cell>
          <cell r="N295" t="str">
            <v>Full-Time</v>
          </cell>
          <cell r="O295" t="str">
            <v>Contract</v>
          </cell>
          <cell r="Q295" t="str">
            <v>99000 $</v>
          </cell>
          <cell r="R295" t="str">
            <v>United States</v>
          </cell>
          <cell r="S295" t="str">
            <v>United States</v>
          </cell>
          <cell r="Y295" t="str">
            <v>Senior-Level</v>
          </cell>
        </row>
        <row r="296">
          <cell r="B296">
            <v>293</v>
          </cell>
          <cell r="C296">
            <v>2022</v>
          </cell>
          <cell r="F296" t="str">
            <v>Data Analyst</v>
          </cell>
          <cell r="I296">
            <v>116000</v>
          </cell>
          <cell r="N296" t="str">
            <v>Full-Time</v>
          </cell>
          <cell r="O296" t="str">
            <v>Contract</v>
          </cell>
          <cell r="Q296" t="str">
            <v>116000 $</v>
          </cell>
          <cell r="R296" t="str">
            <v>United States</v>
          </cell>
          <cell r="S296" t="str">
            <v>United States</v>
          </cell>
          <cell r="Y296" t="str">
            <v>Mid-Level</v>
          </cell>
        </row>
        <row r="297">
          <cell r="B297">
            <v>294</v>
          </cell>
          <cell r="C297">
            <v>2022</v>
          </cell>
          <cell r="F297" t="str">
            <v>Data Analyst</v>
          </cell>
          <cell r="I297">
            <v>106260</v>
          </cell>
          <cell r="N297" t="str">
            <v>Full-Time</v>
          </cell>
          <cell r="O297" t="str">
            <v>Contract</v>
          </cell>
          <cell r="Q297" t="str">
            <v>106260 $</v>
          </cell>
          <cell r="R297" t="str">
            <v>United States</v>
          </cell>
          <cell r="S297" t="str">
            <v>United States</v>
          </cell>
          <cell r="Y297" t="str">
            <v>Mid-Level</v>
          </cell>
        </row>
        <row r="298">
          <cell r="B298">
            <v>295</v>
          </cell>
          <cell r="C298">
            <v>2022</v>
          </cell>
          <cell r="F298" t="str">
            <v>Data Analyst</v>
          </cell>
          <cell r="I298">
            <v>126500</v>
          </cell>
          <cell r="N298" t="str">
            <v>Full-Time</v>
          </cell>
          <cell r="O298" t="str">
            <v>Contract</v>
          </cell>
          <cell r="Q298" t="str">
            <v>126500 $</v>
          </cell>
          <cell r="R298" t="str">
            <v>United States</v>
          </cell>
          <cell r="S298" t="str">
            <v>United States</v>
          </cell>
          <cell r="Y298" t="str">
            <v>Executive</v>
          </cell>
        </row>
        <row r="299">
          <cell r="B299">
            <v>296</v>
          </cell>
          <cell r="C299">
            <v>2022</v>
          </cell>
          <cell r="F299" t="str">
            <v>Data Engineer</v>
          </cell>
          <cell r="I299">
            <v>242000</v>
          </cell>
          <cell r="N299" t="str">
            <v>Full-Time</v>
          </cell>
          <cell r="O299" t="str">
            <v>Contract</v>
          </cell>
          <cell r="Q299" t="str">
            <v>242000 $</v>
          </cell>
          <cell r="R299" t="str">
            <v>United States</v>
          </cell>
          <cell r="S299" t="str">
            <v>United States</v>
          </cell>
          <cell r="Y299" t="str">
            <v>Mid-Level</v>
          </cell>
        </row>
        <row r="300">
          <cell r="B300">
            <v>297</v>
          </cell>
          <cell r="C300">
            <v>2022</v>
          </cell>
          <cell r="F300" t="str">
            <v>Data Scientist</v>
          </cell>
          <cell r="I300">
            <v>65438</v>
          </cell>
          <cell r="N300" t="str">
            <v>Full-Time</v>
          </cell>
          <cell r="O300" t="str">
            <v>Contract</v>
          </cell>
          <cell r="Q300" t="str">
            <v>50000 £</v>
          </cell>
          <cell r="R300" t="str">
            <v>United Kingdom</v>
          </cell>
          <cell r="S300" t="str">
            <v>United Kingdom</v>
          </cell>
          <cell r="Y300" t="str">
            <v>Mid-Level</v>
          </cell>
        </row>
        <row r="301">
          <cell r="B301">
            <v>298</v>
          </cell>
          <cell r="C301">
            <v>2022</v>
          </cell>
          <cell r="F301" t="str">
            <v>Data Scientist</v>
          </cell>
          <cell r="I301">
            <v>39263</v>
          </cell>
          <cell r="N301" t="str">
            <v>Full-Time</v>
          </cell>
          <cell r="O301" t="str">
            <v>Contract</v>
          </cell>
          <cell r="Q301" t="str">
            <v>30000 £</v>
          </cell>
          <cell r="R301" t="str">
            <v>United Kingdom</v>
          </cell>
          <cell r="S301" t="str">
            <v>United Kingdom</v>
          </cell>
          <cell r="Y301" t="str">
            <v>Senior-Level</v>
          </cell>
        </row>
        <row r="302">
          <cell r="B302">
            <v>299</v>
          </cell>
          <cell r="C302">
            <v>2022</v>
          </cell>
          <cell r="F302" t="str">
            <v>Data Scientist</v>
          </cell>
          <cell r="I302">
            <v>165220</v>
          </cell>
          <cell r="N302" t="str">
            <v>Full-Time</v>
          </cell>
          <cell r="O302" t="str">
            <v>Contract</v>
          </cell>
          <cell r="Q302" t="str">
            <v>165220 $</v>
          </cell>
          <cell r="R302" t="str">
            <v>United States</v>
          </cell>
          <cell r="S302" t="str">
            <v>United States</v>
          </cell>
          <cell r="Y302" t="str">
            <v>Entry-Level</v>
          </cell>
        </row>
        <row r="303">
          <cell r="B303">
            <v>300</v>
          </cell>
          <cell r="C303">
            <v>2022</v>
          </cell>
          <cell r="F303" t="str">
            <v>Data Engineer</v>
          </cell>
          <cell r="I303">
            <v>45807</v>
          </cell>
          <cell r="N303" t="str">
            <v>Full-Time</v>
          </cell>
          <cell r="O303" t="str">
            <v>Contract</v>
          </cell>
          <cell r="Q303" t="str">
            <v>35000 £</v>
          </cell>
          <cell r="R303" t="str">
            <v>United Kingdom</v>
          </cell>
          <cell r="S303" t="str">
            <v>United Kingdom</v>
          </cell>
          <cell r="Y303" t="str">
            <v>Senior-Level</v>
          </cell>
        </row>
        <row r="304">
          <cell r="B304">
            <v>301</v>
          </cell>
          <cell r="C304">
            <v>2022</v>
          </cell>
          <cell r="F304" t="str">
            <v>Data Scientist</v>
          </cell>
          <cell r="I304">
            <v>120160</v>
          </cell>
          <cell r="N304" t="str">
            <v>Full-Time</v>
          </cell>
          <cell r="O304" t="str">
            <v>Contract</v>
          </cell>
          <cell r="Q304" t="str">
            <v>120160 $</v>
          </cell>
          <cell r="R304" t="str">
            <v>United States</v>
          </cell>
          <cell r="S304" t="str">
            <v>United States</v>
          </cell>
          <cell r="Y304" t="str">
            <v>Senior-Level</v>
          </cell>
        </row>
        <row r="305">
          <cell r="B305">
            <v>302</v>
          </cell>
          <cell r="C305">
            <v>2022</v>
          </cell>
          <cell r="F305" t="str">
            <v>Data Analyst</v>
          </cell>
          <cell r="I305">
            <v>90320</v>
          </cell>
          <cell r="N305" t="str">
            <v>Full-Time</v>
          </cell>
          <cell r="O305" t="str">
            <v>Contract</v>
          </cell>
          <cell r="Q305" t="str">
            <v>90320 $</v>
          </cell>
          <cell r="R305" t="str">
            <v>United States</v>
          </cell>
          <cell r="S305" t="str">
            <v>United States</v>
          </cell>
          <cell r="Y305" t="str">
            <v>Senior-Level</v>
          </cell>
        </row>
        <row r="306">
          <cell r="B306">
            <v>303</v>
          </cell>
          <cell r="C306">
            <v>2022</v>
          </cell>
          <cell r="F306" t="str">
            <v>Data Engineer</v>
          </cell>
          <cell r="I306">
            <v>181940</v>
          </cell>
          <cell r="N306" t="str">
            <v>Full-Time</v>
          </cell>
          <cell r="O306" t="str">
            <v>Contract</v>
          </cell>
          <cell r="Q306" t="str">
            <v>181940 $</v>
          </cell>
          <cell r="R306" t="str">
            <v>United States</v>
          </cell>
          <cell r="S306" t="str">
            <v>United States</v>
          </cell>
          <cell r="Y306" t="str">
            <v>Senior-Level</v>
          </cell>
        </row>
        <row r="307">
          <cell r="B307">
            <v>304</v>
          </cell>
          <cell r="C307">
            <v>2022</v>
          </cell>
          <cell r="F307" t="str">
            <v>Data Engineer</v>
          </cell>
          <cell r="I307">
            <v>132320</v>
          </cell>
          <cell r="N307" t="str">
            <v>Full-Time</v>
          </cell>
          <cell r="O307" t="str">
            <v>Contract</v>
          </cell>
          <cell r="Q307" t="str">
            <v>132320 $</v>
          </cell>
          <cell r="R307" t="str">
            <v>United States</v>
          </cell>
          <cell r="S307" t="str">
            <v>United States</v>
          </cell>
          <cell r="Y307" t="str">
            <v>Senior-Level</v>
          </cell>
        </row>
        <row r="308">
          <cell r="B308">
            <v>305</v>
          </cell>
          <cell r="C308">
            <v>2022</v>
          </cell>
          <cell r="F308" t="str">
            <v>Data Engineer</v>
          </cell>
          <cell r="I308">
            <v>220110</v>
          </cell>
          <cell r="N308" t="str">
            <v>Full-Time</v>
          </cell>
          <cell r="O308" t="str">
            <v>Contract</v>
          </cell>
          <cell r="Q308" t="str">
            <v>220110 $</v>
          </cell>
          <cell r="R308" t="str">
            <v>United States</v>
          </cell>
          <cell r="S308" t="str">
            <v>United States</v>
          </cell>
          <cell r="Y308" t="str">
            <v>Senior-Level</v>
          </cell>
        </row>
        <row r="309">
          <cell r="B309">
            <v>306</v>
          </cell>
          <cell r="C309">
            <v>2022</v>
          </cell>
          <cell r="F309" t="str">
            <v>Data Engineer</v>
          </cell>
          <cell r="I309">
            <v>160080</v>
          </cell>
          <cell r="N309" t="str">
            <v>Full-Time</v>
          </cell>
          <cell r="O309" t="str">
            <v>Contract</v>
          </cell>
          <cell r="Q309" t="str">
            <v>160080 $</v>
          </cell>
          <cell r="R309" t="str">
            <v>United States</v>
          </cell>
          <cell r="S309" t="str">
            <v>United States</v>
          </cell>
          <cell r="Y309" t="str">
            <v>Senior-Level</v>
          </cell>
        </row>
        <row r="310">
          <cell r="B310">
            <v>307</v>
          </cell>
          <cell r="C310">
            <v>2022</v>
          </cell>
          <cell r="F310" t="str">
            <v>Data Scientist</v>
          </cell>
          <cell r="I310">
            <v>180000</v>
          </cell>
          <cell r="N310" t="str">
            <v>Full-Time</v>
          </cell>
          <cell r="O310" t="str">
            <v>Large</v>
          </cell>
          <cell r="Q310" t="str">
            <v>180000 $</v>
          </cell>
          <cell r="R310" t="str">
            <v>United States</v>
          </cell>
          <cell r="S310" t="str">
            <v>United States</v>
          </cell>
          <cell r="Y310" t="str">
            <v>Senior-Level</v>
          </cell>
        </row>
        <row r="311">
          <cell r="B311">
            <v>308</v>
          </cell>
          <cell r="C311">
            <v>2022</v>
          </cell>
          <cell r="F311" t="str">
            <v>Data Analyst</v>
          </cell>
          <cell r="I311">
            <v>124190</v>
          </cell>
          <cell r="N311" t="str">
            <v>Full-Time</v>
          </cell>
          <cell r="O311" t="str">
            <v>Contract</v>
          </cell>
          <cell r="Q311" t="str">
            <v>124190 $</v>
          </cell>
          <cell r="R311" t="str">
            <v>United States</v>
          </cell>
          <cell r="S311" t="str">
            <v>United States</v>
          </cell>
          <cell r="Y311" t="str">
            <v>Executive</v>
          </cell>
        </row>
        <row r="312">
          <cell r="B312">
            <v>309</v>
          </cell>
          <cell r="C312">
            <v>2022</v>
          </cell>
          <cell r="F312" t="str">
            <v>Data Analyst</v>
          </cell>
          <cell r="I312">
            <v>130000</v>
          </cell>
          <cell r="N312" t="str">
            <v>Full-Time</v>
          </cell>
          <cell r="O312" t="str">
            <v>Contract</v>
          </cell>
          <cell r="Q312" t="str">
            <v>130000 $</v>
          </cell>
          <cell r="R312" t="str">
            <v>United States</v>
          </cell>
          <cell r="S312" t="str">
            <v>United States</v>
          </cell>
          <cell r="Y312" t="str">
            <v>Executive</v>
          </cell>
        </row>
        <row r="313">
          <cell r="B313">
            <v>310</v>
          </cell>
          <cell r="C313">
            <v>2022</v>
          </cell>
          <cell r="F313" t="str">
            <v>Data Analyst</v>
          </cell>
          <cell r="I313">
            <v>110000</v>
          </cell>
          <cell r="N313" t="str">
            <v>Full-Time</v>
          </cell>
          <cell r="O313" t="str">
            <v>Contract</v>
          </cell>
          <cell r="Q313" t="str">
            <v>110000 $</v>
          </cell>
          <cell r="R313" t="str">
            <v>United States</v>
          </cell>
          <cell r="S313" t="str">
            <v>United States</v>
          </cell>
          <cell r="Y313" t="str">
            <v>Senior-Level</v>
          </cell>
        </row>
        <row r="314">
          <cell r="B314">
            <v>311</v>
          </cell>
          <cell r="C314">
            <v>2022</v>
          </cell>
          <cell r="F314" t="str">
            <v>Data Analyst</v>
          </cell>
          <cell r="I314">
            <v>170000</v>
          </cell>
          <cell r="N314" t="str">
            <v>Full-Time</v>
          </cell>
          <cell r="O314" t="str">
            <v>Contract</v>
          </cell>
          <cell r="Q314" t="str">
            <v>170000 $</v>
          </cell>
          <cell r="R314" t="str">
            <v>United States</v>
          </cell>
          <cell r="S314" t="str">
            <v>United States</v>
          </cell>
          <cell r="Y314" t="str">
            <v>Mid-Level</v>
          </cell>
        </row>
        <row r="315">
          <cell r="B315">
            <v>312</v>
          </cell>
          <cell r="C315">
            <v>2022</v>
          </cell>
          <cell r="F315" t="str">
            <v>Data Analyst</v>
          </cell>
          <cell r="I315">
            <v>115500</v>
          </cell>
          <cell r="N315" t="str">
            <v>Full-Time</v>
          </cell>
          <cell r="O315" t="str">
            <v>Contract</v>
          </cell>
          <cell r="Q315" t="str">
            <v>115500 $</v>
          </cell>
          <cell r="R315" t="str">
            <v>United States</v>
          </cell>
          <cell r="S315" t="str">
            <v>United States</v>
          </cell>
          <cell r="Y315" t="str">
            <v>Senior-Level</v>
          </cell>
        </row>
        <row r="316">
          <cell r="B316">
            <v>313</v>
          </cell>
          <cell r="C316">
            <v>2022</v>
          </cell>
          <cell r="F316" t="str">
            <v>Data Analyst</v>
          </cell>
          <cell r="I316">
            <v>112900</v>
          </cell>
          <cell r="N316" t="str">
            <v>Full-Time</v>
          </cell>
          <cell r="O316" t="str">
            <v>Contract</v>
          </cell>
          <cell r="Q316" t="str">
            <v>112900 $</v>
          </cell>
          <cell r="R316" t="str">
            <v>United States</v>
          </cell>
          <cell r="S316" t="str">
            <v>United States</v>
          </cell>
          <cell r="Y316" t="str">
            <v>Senior-Level</v>
          </cell>
        </row>
        <row r="317">
          <cell r="B317">
            <v>314</v>
          </cell>
          <cell r="C317">
            <v>2022</v>
          </cell>
          <cell r="F317" t="str">
            <v>Data Engineer</v>
          </cell>
          <cell r="I317">
            <v>165400</v>
          </cell>
          <cell r="N317" t="str">
            <v>Full-Time</v>
          </cell>
          <cell r="O317" t="str">
            <v>Contract</v>
          </cell>
          <cell r="Q317" t="str">
            <v>165400 $</v>
          </cell>
          <cell r="R317" t="str">
            <v>United States</v>
          </cell>
          <cell r="S317" t="str">
            <v>United States</v>
          </cell>
          <cell r="Y317" t="str">
            <v>Mid-Level</v>
          </cell>
        </row>
        <row r="318">
          <cell r="B318">
            <v>315</v>
          </cell>
          <cell r="C318">
            <v>2022</v>
          </cell>
          <cell r="F318" t="str">
            <v>Data Analyst</v>
          </cell>
          <cell r="I318">
            <v>167000</v>
          </cell>
          <cell r="N318" t="str">
            <v>Full-Time</v>
          </cell>
          <cell r="O318" t="str">
            <v>Contract</v>
          </cell>
          <cell r="Q318" t="str">
            <v>167000 $</v>
          </cell>
          <cell r="R318" t="str">
            <v>United States</v>
          </cell>
          <cell r="S318" t="str">
            <v>United States</v>
          </cell>
          <cell r="Y318" t="str">
            <v>Senior-Level</v>
          </cell>
        </row>
        <row r="319">
          <cell r="B319">
            <v>316</v>
          </cell>
          <cell r="C319">
            <v>2022</v>
          </cell>
          <cell r="F319" t="str">
            <v>Data Engineer</v>
          </cell>
          <cell r="I319">
            <v>243900</v>
          </cell>
          <cell r="N319" t="str">
            <v>Full-Time</v>
          </cell>
          <cell r="O319" t="str">
            <v>Contract</v>
          </cell>
          <cell r="Q319" t="str">
            <v>243900 $</v>
          </cell>
          <cell r="R319" t="str">
            <v>United States</v>
          </cell>
          <cell r="S319" t="str">
            <v>United States</v>
          </cell>
          <cell r="Y319" t="str">
            <v>Senior-Level</v>
          </cell>
        </row>
        <row r="320">
          <cell r="B320">
            <v>317</v>
          </cell>
          <cell r="C320">
            <v>2022</v>
          </cell>
          <cell r="F320" t="str">
            <v>Data Analyst</v>
          </cell>
          <cell r="I320">
            <v>136600</v>
          </cell>
          <cell r="N320" t="str">
            <v>Full-Time</v>
          </cell>
          <cell r="O320" t="str">
            <v>Contract</v>
          </cell>
          <cell r="Q320" t="str">
            <v>136600 $</v>
          </cell>
          <cell r="R320" t="str">
            <v>United States</v>
          </cell>
          <cell r="S320" t="str">
            <v>United States</v>
          </cell>
          <cell r="Y320" t="str">
            <v>Senior-Level</v>
          </cell>
        </row>
        <row r="321">
          <cell r="B321">
            <v>318</v>
          </cell>
          <cell r="C321">
            <v>2022</v>
          </cell>
          <cell r="F321" t="str">
            <v>Data Analyst</v>
          </cell>
          <cell r="I321">
            <v>109280</v>
          </cell>
          <cell r="N321" t="str">
            <v>Full-Time</v>
          </cell>
          <cell r="O321" t="str">
            <v>Contract</v>
          </cell>
          <cell r="Q321" t="str">
            <v>109280 $</v>
          </cell>
          <cell r="R321" t="str">
            <v>United States</v>
          </cell>
          <cell r="S321" t="str">
            <v>United States</v>
          </cell>
          <cell r="Y321" t="str">
            <v>Senior-Level</v>
          </cell>
        </row>
        <row r="322">
          <cell r="B322">
            <v>319</v>
          </cell>
          <cell r="C322">
            <v>2022</v>
          </cell>
          <cell r="F322" t="str">
            <v>Data Engineer</v>
          </cell>
          <cell r="I322">
            <v>128875</v>
          </cell>
          <cell r="N322" t="str">
            <v>Full-Time</v>
          </cell>
          <cell r="O322" t="str">
            <v>Contract</v>
          </cell>
          <cell r="Q322" t="str">
            <v>128875 $</v>
          </cell>
          <cell r="R322" t="str">
            <v>United States</v>
          </cell>
          <cell r="S322" t="str">
            <v>United States</v>
          </cell>
          <cell r="Y322" t="str">
            <v>Senior-Level</v>
          </cell>
        </row>
        <row r="323">
          <cell r="B323">
            <v>320</v>
          </cell>
          <cell r="C323">
            <v>2022</v>
          </cell>
          <cell r="F323" t="str">
            <v>Data Engineer</v>
          </cell>
          <cell r="I323">
            <v>93700</v>
          </cell>
          <cell r="N323" t="str">
            <v>Full-Time</v>
          </cell>
          <cell r="O323" t="str">
            <v>Contract</v>
          </cell>
          <cell r="Q323" t="str">
            <v>93700 $</v>
          </cell>
          <cell r="R323" t="str">
            <v>United States</v>
          </cell>
          <cell r="S323" t="str">
            <v>United States</v>
          </cell>
          <cell r="Y323" t="str">
            <v>Executive</v>
          </cell>
        </row>
        <row r="324">
          <cell r="B324">
            <v>321</v>
          </cell>
          <cell r="C324">
            <v>2022</v>
          </cell>
          <cell r="F324" t="str">
            <v>Head of Data Science</v>
          </cell>
          <cell r="I324">
            <v>224000</v>
          </cell>
          <cell r="N324" t="str">
            <v>Full-Time</v>
          </cell>
          <cell r="O324" t="str">
            <v>Contract</v>
          </cell>
          <cell r="Q324" t="str">
            <v>224000 $</v>
          </cell>
          <cell r="R324" t="str">
            <v>United States</v>
          </cell>
          <cell r="S324" t="str">
            <v>United States</v>
          </cell>
          <cell r="Y324" t="str">
            <v>Executive</v>
          </cell>
        </row>
        <row r="325">
          <cell r="B325">
            <v>322</v>
          </cell>
          <cell r="C325">
            <v>2022</v>
          </cell>
          <cell r="F325" t="str">
            <v>Head of Data Science</v>
          </cell>
          <cell r="I325">
            <v>167875</v>
          </cell>
          <cell r="N325" t="str">
            <v>Full-Time</v>
          </cell>
          <cell r="O325" t="str">
            <v>Contract</v>
          </cell>
          <cell r="Q325" t="str">
            <v>167875 $</v>
          </cell>
          <cell r="R325" t="str">
            <v>United States</v>
          </cell>
          <cell r="S325" t="str">
            <v>United States</v>
          </cell>
          <cell r="Y325" t="str">
            <v>Executive</v>
          </cell>
        </row>
        <row r="326">
          <cell r="B326">
            <v>323</v>
          </cell>
          <cell r="C326">
            <v>2022</v>
          </cell>
          <cell r="F326" t="str">
            <v>Analytics Engineer</v>
          </cell>
          <cell r="I326">
            <v>175000</v>
          </cell>
          <cell r="N326" t="str">
            <v>Full-Time</v>
          </cell>
          <cell r="O326" t="str">
            <v>Contract</v>
          </cell>
          <cell r="Q326" t="str">
            <v>175000 $</v>
          </cell>
          <cell r="R326" t="str">
            <v>United States</v>
          </cell>
          <cell r="S326" t="str">
            <v>United States</v>
          </cell>
          <cell r="Y326" t="str">
            <v>Senior-Level</v>
          </cell>
        </row>
        <row r="327">
          <cell r="B327">
            <v>324</v>
          </cell>
          <cell r="C327">
            <v>2022</v>
          </cell>
          <cell r="F327" t="str">
            <v>Data Engineer</v>
          </cell>
          <cell r="I327">
            <v>156600</v>
          </cell>
          <cell r="N327" t="str">
            <v>Full-Time</v>
          </cell>
          <cell r="O327" t="str">
            <v>Contract</v>
          </cell>
          <cell r="Q327" t="str">
            <v>156600 $</v>
          </cell>
          <cell r="R327" t="str">
            <v>United States</v>
          </cell>
          <cell r="S327" t="str">
            <v>United States</v>
          </cell>
          <cell r="Y327" t="str">
            <v>Senior-Level</v>
          </cell>
        </row>
        <row r="328">
          <cell r="B328">
            <v>325</v>
          </cell>
          <cell r="C328">
            <v>2022</v>
          </cell>
          <cell r="F328" t="str">
            <v>Data Engineer</v>
          </cell>
          <cell r="I328">
            <v>108800</v>
          </cell>
          <cell r="N328" t="str">
            <v>Full-Time</v>
          </cell>
          <cell r="O328" t="str">
            <v>Contract</v>
          </cell>
          <cell r="Q328" t="str">
            <v>108800 $</v>
          </cell>
          <cell r="R328" t="str">
            <v>United States</v>
          </cell>
          <cell r="S328" t="str">
            <v>United States</v>
          </cell>
          <cell r="Y328" t="str">
            <v>Senior-Level</v>
          </cell>
        </row>
        <row r="329">
          <cell r="B329">
            <v>326</v>
          </cell>
          <cell r="C329">
            <v>2022</v>
          </cell>
          <cell r="F329" t="str">
            <v>Data Scientist</v>
          </cell>
          <cell r="I329">
            <v>95550</v>
          </cell>
          <cell r="N329" t="str">
            <v>Full-Time</v>
          </cell>
          <cell r="O329" t="str">
            <v>Contract</v>
          </cell>
          <cell r="Q329" t="str">
            <v>95550 $</v>
          </cell>
          <cell r="R329" t="str">
            <v>United States</v>
          </cell>
          <cell r="S329" t="str">
            <v>United States</v>
          </cell>
          <cell r="Y329" t="str">
            <v>Senior-Level</v>
          </cell>
        </row>
        <row r="330">
          <cell r="B330">
            <v>327</v>
          </cell>
          <cell r="C330">
            <v>2022</v>
          </cell>
          <cell r="F330" t="str">
            <v>Data Engineer</v>
          </cell>
          <cell r="I330">
            <v>113000</v>
          </cell>
          <cell r="N330" t="str">
            <v>Full-Time</v>
          </cell>
          <cell r="O330" t="str">
            <v>Large</v>
          </cell>
          <cell r="Q330" t="str">
            <v>113000 $</v>
          </cell>
          <cell r="R330" t="str">
            <v>United States</v>
          </cell>
          <cell r="S330" t="str">
            <v>United States</v>
          </cell>
          <cell r="Y330" t="str">
            <v>Senior-Level</v>
          </cell>
        </row>
        <row r="331">
          <cell r="B331">
            <v>328</v>
          </cell>
          <cell r="C331">
            <v>2022</v>
          </cell>
          <cell r="F331" t="str">
            <v>Data Science Manager</v>
          </cell>
          <cell r="I331">
            <v>161342</v>
          </cell>
          <cell r="N331" t="str">
            <v>Full-Time</v>
          </cell>
          <cell r="O331" t="str">
            <v>Contract</v>
          </cell>
          <cell r="Q331" t="str">
            <v>161342 $</v>
          </cell>
          <cell r="R331" t="str">
            <v>United States</v>
          </cell>
          <cell r="S331" t="str">
            <v>United States</v>
          </cell>
          <cell r="Y331" t="str">
            <v>Senior-Level</v>
          </cell>
        </row>
        <row r="332">
          <cell r="B332">
            <v>329</v>
          </cell>
          <cell r="C332">
            <v>2022</v>
          </cell>
          <cell r="F332" t="str">
            <v>Data Science Manager</v>
          </cell>
          <cell r="I332">
            <v>137141</v>
          </cell>
          <cell r="N332" t="str">
            <v>Full-Time</v>
          </cell>
          <cell r="O332" t="str">
            <v>Contract</v>
          </cell>
          <cell r="Q332" t="str">
            <v>137141 $</v>
          </cell>
          <cell r="R332" t="str">
            <v>United States</v>
          </cell>
          <cell r="S332" t="str">
            <v>United States</v>
          </cell>
          <cell r="Y332" t="str">
            <v>Senior-Level</v>
          </cell>
        </row>
        <row r="333">
          <cell r="B333">
            <v>330</v>
          </cell>
          <cell r="C333">
            <v>2022</v>
          </cell>
          <cell r="F333" t="str">
            <v>Data Scientist</v>
          </cell>
          <cell r="I333">
            <v>167000</v>
          </cell>
          <cell r="N333" t="str">
            <v>Full-Time</v>
          </cell>
          <cell r="O333" t="str">
            <v>Contract</v>
          </cell>
          <cell r="Q333" t="str">
            <v>167000 $</v>
          </cell>
          <cell r="R333" t="str">
            <v>United States</v>
          </cell>
          <cell r="S333" t="str">
            <v>United States</v>
          </cell>
          <cell r="Y333" t="str">
            <v>Senior-Level</v>
          </cell>
        </row>
        <row r="334">
          <cell r="B334">
            <v>331</v>
          </cell>
          <cell r="C334">
            <v>2022</v>
          </cell>
          <cell r="F334" t="str">
            <v>Data Engineer</v>
          </cell>
          <cell r="I334">
            <v>65438</v>
          </cell>
          <cell r="N334" t="str">
            <v>Full-Time</v>
          </cell>
          <cell r="O334" t="str">
            <v>Contract</v>
          </cell>
          <cell r="Q334" t="str">
            <v>50000 £</v>
          </cell>
          <cell r="R334" t="str">
            <v>United Kingdom</v>
          </cell>
          <cell r="S334" t="str">
            <v>United Kingdom</v>
          </cell>
          <cell r="Y334" t="str">
            <v>Senior-Level</v>
          </cell>
        </row>
        <row r="335">
          <cell r="B335">
            <v>332</v>
          </cell>
          <cell r="C335">
            <v>2022</v>
          </cell>
          <cell r="F335" t="str">
            <v>Data Scientist</v>
          </cell>
          <cell r="I335">
            <v>211500</v>
          </cell>
          <cell r="N335" t="str">
            <v>Full-Time</v>
          </cell>
          <cell r="O335" t="str">
            <v>Contract</v>
          </cell>
          <cell r="Q335" t="str">
            <v>211500 $</v>
          </cell>
          <cell r="R335" t="str">
            <v>United States</v>
          </cell>
          <cell r="S335" t="str">
            <v>United States</v>
          </cell>
          <cell r="Y335" t="str">
            <v>Senior-Level</v>
          </cell>
        </row>
        <row r="336">
          <cell r="B336">
            <v>333</v>
          </cell>
          <cell r="C336">
            <v>2022</v>
          </cell>
          <cell r="F336" t="str">
            <v>Data Architect</v>
          </cell>
          <cell r="I336">
            <v>192400</v>
          </cell>
          <cell r="N336" t="str">
            <v>Full-Time</v>
          </cell>
          <cell r="O336" t="str">
            <v>Contract</v>
          </cell>
          <cell r="Q336" t="str">
            <v>192400 $</v>
          </cell>
          <cell r="R336" t="str">
            <v>Canada</v>
          </cell>
          <cell r="S336" t="str">
            <v>Canada</v>
          </cell>
          <cell r="Y336" t="str">
            <v>Senior-Level</v>
          </cell>
        </row>
        <row r="337">
          <cell r="B337">
            <v>334</v>
          </cell>
          <cell r="C337">
            <v>2022</v>
          </cell>
          <cell r="F337" t="str">
            <v>Data Architect</v>
          </cell>
          <cell r="I337">
            <v>90700</v>
          </cell>
          <cell r="N337" t="str">
            <v>Full-Time</v>
          </cell>
          <cell r="O337" t="str">
            <v>Contract</v>
          </cell>
          <cell r="Q337" t="str">
            <v>90700 $</v>
          </cell>
          <cell r="R337" t="str">
            <v>Canada</v>
          </cell>
          <cell r="S337" t="str">
            <v>Canada</v>
          </cell>
          <cell r="Y337" t="str">
            <v>Senior-Level</v>
          </cell>
        </row>
        <row r="338">
          <cell r="B338">
            <v>335</v>
          </cell>
          <cell r="C338">
            <v>2022</v>
          </cell>
          <cell r="F338" t="str">
            <v>Data Analyst</v>
          </cell>
          <cell r="I338">
            <v>130000</v>
          </cell>
          <cell r="N338" t="str">
            <v>Full-Time</v>
          </cell>
          <cell r="O338" t="str">
            <v>Contract</v>
          </cell>
          <cell r="Q338" t="str">
            <v>130000 $</v>
          </cell>
          <cell r="R338" t="str">
            <v>Canada</v>
          </cell>
          <cell r="S338" t="str">
            <v>Canada</v>
          </cell>
          <cell r="Y338" t="str">
            <v>Senior-Level</v>
          </cell>
        </row>
        <row r="339">
          <cell r="B339">
            <v>336</v>
          </cell>
          <cell r="C339">
            <v>2022</v>
          </cell>
          <cell r="F339" t="str">
            <v>Data Analyst</v>
          </cell>
          <cell r="I339">
            <v>61300</v>
          </cell>
          <cell r="N339" t="str">
            <v>Full-Time</v>
          </cell>
          <cell r="O339" t="str">
            <v>Contract</v>
          </cell>
          <cell r="Q339" t="str">
            <v>61300 $</v>
          </cell>
          <cell r="R339" t="str">
            <v>Canada</v>
          </cell>
          <cell r="S339" t="str">
            <v>Canada</v>
          </cell>
          <cell r="Y339" t="str">
            <v>Senior-Level</v>
          </cell>
        </row>
        <row r="340">
          <cell r="B340">
            <v>337</v>
          </cell>
          <cell r="C340">
            <v>2022</v>
          </cell>
          <cell r="F340" t="str">
            <v>Data Engineer</v>
          </cell>
          <cell r="I340">
            <v>160000</v>
          </cell>
          <cell r="N340" t="str">
            <v>Full-Time</v>
          </cell>
          <cell r="O340" t="str">
            <v>Large</v>
          </cell>
          <cell r="Q340" t="str">
            <v>160000 $</v>
          </cell>
          <cell r="R340" t="str">
            <v>United States</v>
          </cell>
          <cell r="S340" t="str">
            <v>United States</v>
          </cell>
          <cell r="Y340" t="str">
            <v>Senior-Level</v>
          </cell>
        </row>
        <row r="341">
          <cell r="B341">
            <v>338</v>
          </cell>
          <cell r="C341">
            <v>2022</v>
          </cell>
          <cell r="F341" t="str">
            <v>Data Scientist</v>
          </cell>
          <cell r="I341">
            <v>138600</v>
          </cell>
          <cell r="N341" t="str">
            <v>Full-Time</v>
          </cell>
          <cell r="O341" t="str">
            <v>Contract</v>
          </cell>
          <cell r="Q341" t="str">
            <v>138600 $</v>
          </cell>
          <cell r="R341" t="str">
            <v>United States</v>
          </cell>
          <cell r="S341" t="str">
            <v>United States</v>
          </cell>
          <cell r="Y341" t="str">
            <v>Senior-Level</v>
          </cell>
        </row>
        <row r="342">
          <cell r="B342">
            <v>339</v>
          </cell>
          <cell r="C342">
            <v>2022</v>
          </cell>
          <cell r="F342" t="str">
            <v>Data Engineer</v>
          </cell>
          <cell r="I342">
            <v>136000</v>
          </cell>
          <cell r="N342" t="str">
            <v>Full-Time</v>
          </cell>
          <cell r="O342" t="str">
            <v>Contract</v>
          </cell>
          <cell r="Q342" t="str">
            <v>136000 $</v>
          </cell>
          <cell r="R342" t="str">
            <v>United States</v>
          </cell>
          <cell r="S342" t="str">
            <v>United States</v>
          </cell>
          <cell r="Y342" t="str">
            <v>Mid-Level</v>
          </cell>
        </row>
        <row r="343">
          <cell r="B343">
            <v>340</v>
          </cell>
          <cell r="C343">
            <v>2022</v>
          </cell>
          <cell r="F343" t="str">
            <v>Data Analyst</v>
          </cell>
          <cell r="I343">
            <v>58000</v>
          </cell>
          <cell r="N343" t="str">
            <v>Full-Time</v>
          </cell>
          <cell r="O343" t="str">
            <v>Small</v>
          </cell>
          <cell r="Q343" t="str">
            <v>58000 $</v>
          </cell>
          <cell r="R343" t="str">
            <v>United States</v>
          </cell>
          <cell r="S343" t="str">
            <v>United States</v>
          </cell>
          <cell r="Y343" t="str">
            <v>Executive</v>
          </cell>
        </row>
        <row r="344">
          <cell r="B344">
            <v>341</v>
          </cell>
          <cell r="C344">
            <v>2022</v>
          </cell>
          <cell r="F344" t="str">
            <v>Analytics Engineer</v>
          </cell>
          <cell r="I344">
            <v>135000</v>
          </cell>
          <cell r="N344" t="str">
            <v>Full-Time</v>
          </cell>
          <cell r="O344" t="str">
            <v>Contract</v>
          </cell>
          <cell r="Q344" t="str">
            <v>135000 $</v>
          </cell>
          <cell r="R344" t="str">
            <v>United States</v>
          </cell>
          <cell r="S344" t="str">
            <v>United States</v>
          </cell>
          <cell r="Y344" t="str">
            <v>Senior-Level</v>
          </cell>
        </row>
        <row r="345">
          <cell r="B345">
            <v>342</v>
          </cell>
          <cell r="C345">
            <v>2022</v>
          </cell>
          <cell r="F345" t="str">
            <v>Data Scientist</v>
          </cell>
          <cell r="I345">
            <v>170000</v>
          </cell>
          <cell r="N345" t="str">
            <v>Full-Time</v>
          </cell>
          <cell r="O345" t="str">
            <v>Contract</v>
          </cell>
          <cell r="Q345" t="str">
            <v>170000 $</v>
          </cell>
          <cell r="R345" t="str">
            <v>United States</v>
          </cell>
          <cell r="S345" t="str">
            <v>United States</v>
          </cell>
          <cell r="Y345" t="str">
            <v>Senior-Level</v>
          </cell>
        </row>
        <row r="346">
          <cell r="B346">
            <v>343</v>
          </cell>
          <cell r="C346">
            <v>2022</v>
          </cell>
          <cell r="F346" t="str">
            <v>Machine Learning Engineer</v>
          </cell>
          <cell r="I346">
            <v>189650</v>
          </cell>
          <cell r="N346" t="str">
            <v>Full-Time</v>
          </cell>
          <cell r="O346" t="str">
            <v>Contract</v>
          </cell>
          <cell r="Q346" t="str">
            <v>189650 $</v>
          </cell>
          <cell r="R346" t="str">
            <v>United States</v>
          </cell>
          <cell r="S346" t="str">
            <v>United States</v>
          </cell>
          <cell r="Y346" t="str">
            <v>Senior-Level</v>
          </cell>
        </row>
        <row r="347">
          <cell r="B347">
            <v>344</v>
          </cell>
          <cell r="C347">
            <v>2022</v>
          </cell>
          <cell r="F347" t="str">
            <v>Machine Learning Engineer</v>
          </cell>
          <cell r="I347">
            <v>164996</v>
          </cell>
          <cell r="N347" t="str">
            <v>Full-Time</v>
          </cell>
          <cell r="O347" t="str">
            <v>Contract</v>
          </cell>
          <cell r="Q347" t="str">
            <v>164996 $</v>
          </cell>
          <cell r="R347" t="str">
            <v>United States</v>
          </cell>
          <cell r="S347" t="str">
            <v>United States</v>
          </cell>
          <cell r="Y347" t="str">
            <v>Mid-Level</v>
          </cell>
        </row>
        <row r="348">
          <cell r="B348">
            <v>345</v>
          </cell>
          <cell r="C348">
            <v>2022</v>
          </cell>
          <cell r="F348" t="str">
            <v>ETL Developer</v>
          </cell>
          <cell r="I348">
            <v>54957</v>
          </cell>
          <cell r="N348" t="str">
            <v>Full-Time</v>
          </cell>
          <cell r="O348" t="str">
            <v>Contract</v>
          </cell>
          <cell r="Q348" t="str">
            <v>50000 €</v>
          </cell>
          <cell r="R348" t="str">
            <v>Greece</v>
          </cell>
          <cell r="S348" t="str">
            <v>Greece</v>
          </cell>
          <cell r="Y348" t="str">
            <v>Executive</v>
          </cell>
        </row>
        <row r="349">
          <cell r="B349">
            <v>346</v>
          </cell>
          <cell r="C349">
            <v>2022</v>
          </cell>
          <cell r="F349" t="str">
            <v>Lead Data Engineer</v>
          </cell>
          <cell r="I349">
            <v>118187</v>
          </cell>
          <cell r="N349" t="str">
            <v>Full-Time</v>
          </cell>
          <cell r="O349" t="str">
            <v>Small</v>
          </cell>
          <cell r="Q349" t="str">
            <v>150000 C$</v>
          </cell>
          <cell r="R349" t="str">
            <v>Canada</v>
          </cell>
          <cell r="S349" t="str">
            <v>Canada</v>
          </cell>
          <cell r="Y349" t="str">
            <v>Senior-Level</v>
          </cell>
        </row>
        <row r="350">
          <cell r="B350">
            <v>347</v>
          </cell>
          <cell r="C350">
            <v>2022</v>
          </cell>
          <cell r="F350" t="str">
            <v>Data Analyst</v>
          </cell>
          <cell r="I350">
            <v>132000</v>
          </cell>
          <cell r="N350" t="str">
            <v>Full-Time</v>
          </cell>
          <cell r="O350" t="str">
            <v>Contract</v>
          </cell>
          <cell r="Q350" t="str">
            <v>132000 $</v>
          </cell>
          <cell r="R350" t="str">
            <v>United States</v>
          </cell>
          <cell r="S350" t="str">
            <v>United States</v>
          </cell>
          <cell r="Y350" t="str">
            <v>Senior-Level</v>
          </cell>
        </row>
        <row r="351">
          <cell r="B351">
            <v>348</v>
          </cell>
          <cell r="C351">
            <v>2022</v>
          </cell>
          <cell r="F351" t="str">
            <v>Data Architect</v>
          </cell>
          <cell r="I351">
            <v>208775</v>
          </cell>
          <cell r="N351" t="str">
            <v>Full-Time</v>
          </cell>
          <cell r="O351" t="str">
            <v>Contract</v>
          </cell>
          <cell r="Q351" t="str">
            <v>208775 $</v>
          </cell>
          <cell r="R351" t="str">
            <v>United States</v>
          </cell>
          <cell r="S351" t="str">
            <v>United States</v>
          </cell>
          <cell r="Y351" t="str">
            <v>Senior-Level</v>
          </cell>
        </row>
        <row r="352">
          <cell r="B352">
            <v>349</v>
          </cell>
          <cell r="C352">
            <v>2022</v>
          </cell>
          <cell r="F352" t="str">
            <v>Data Architect</v>
          </cell>
          <cell r="I352">
            <v>147800</v>
          </cell>
          <cell r="N352" t="str">
            <v>Full-Time</v>
          </cell>
          <cell r="O352" t="str">
            <v>Contract</v>
          </cell>
          <cell r="Q352" t="str">
            <v>147800 $</v>
          </cell>
          <cell r="R352" t="str">
            <v>United States</v>
          </cell>
          <cell r="S352" t="str">
            <v>United States</v>
          </cell>
          <cell r="Y352" t="str">
            <v>Senior-Level</v>
          </cell>
        </row>
        <row r="353">
          <cell r="B353">
            <v>350</v>
          </cell>
          <cell r="C353">
            <v>2022</v>
          </cell>
          <cell r="F353" t="str">
            <v>Data Engineer</v>
          </cell>
          <cell r="I353">
            <v>136994</v>
          </cell>
          <cell r="N353" t="str">
            <v>Full-Time</v>
          </cell>
          <cell r="O353" t="str">
            <v>Contract</v>
          </cell>
          <cell r="Q353" t="str">
            <v>136994 $</v>
          </cell>
          <cell r="R353" t="str">
            <v>United States</v>
          </cell>
          <cell r="S353" t="str">
            <v>United States</v>
          </cell>
          <cell r="Y353" t="str">
            <v>Senior-Level</v>
          </cell>
        </row>
        <row r="354">
          <cell r="B354">
            <v>351</v>
          </cell>
          <cell r="C354">
            <v>2022</v>
          </cell>
          <cell r="F354" t="str">
            <v>Data Engineer</v>
          </cell>
          <cell r="I354">
            <v>101570</v>
          </cell>
          <cell r="N354" t="str">
            <v>Full-Time</v>
          </cell>
          <cell r="O354" t="str">
            <v>Contract</v>
          </cell>
          <cell r="Q354" t="str">
            <v>101570 $</v>
          </cell>
          <cell r="R354" t="str">
            <v>United States</v>
          </cell>
          <cell r="S354" t="str">
            <v>United States</v>
          </cell>
          <cell r="Y354" t="str">
            <v>Senior-Level</v>
          </cell>
        </row>
        <row r="355">
          <cell r="B355">
            <v>352</v>
          </cell>
          <cell r="C355">
            <v>2022</v>
          </cell>
          <cell r="F355" t="str">
            <v>Data Analyst</v>
          </cell>
          <cell r="I355">
            <v>128875</v>
          </cell>
          <cell r="N355" t="str">
            <v>Full-Time</v>
          </cell>
          <cell r="O355" t="str">
            <v>Contract</v>
          </cell>
          <cell r="Q355" t="str">
            <v>128875 $</v>
          </cell>
          <cell r="R355" t="str">
            <v>United States</v>
          </cell>
          <cell r="S355" t="str">
            <v>United States</v>
          </cell>
          <cell r="Y355" t="str">
            <v>Senior-Level</v>
          </cell>
        </row>
        <row r="356">
          <cell r="B356">
            <v>353</v>
          </cell>
          <cell r="C356">
            <v>2022</v>
          </cell>
          <cell r="F356" t="str">
            <v>Data Analyst</v>
          </cell>
          <cell r="I356">
            <v>93700</v>
          </cell>
          <cell r="N356" t="str">
            <v>Full-Time</v>
          </cell>
          <cell r="O356" t="str">
            <v>Contract</v>
          </cell>
          <cell r="Q356" t="str">
            <v>93700 $</v>
          </cell>
          <cell r="R356" t="str">
            <v>United States</v>
          </cell>
          <cell r="S356" t="str">
            <v>United States</v>
          </cell>
          <cell r="Y356" t="str">
            <v>Executive</v>
          </cell>
        </row>
        <row r="357">
          <cell r="B357">
            <v>354</v>
          </cell>
          <cell r="C357">
            <v>2022</v>
          </cell>
          <cell r="F357" t="str">
            <v>Head of Machine Learning</v>
          </cell>
          <cell r="I357">
            <v>79039</v>
          </cell>
          <cell r="N357" t="str">
            <v>Full-Time</v>
          </cell>
          <cell r="O357" t="str">
            <v>Large</v>
          </cell>
          <cell r="Q357" t="str">
            <v>6000000 ₹</v>
          </cell>
          <cell r="R357" t="str">
            <v>India</v>
          </cell>
          <cell r="S357" t="str">
            <v>India</v>
          </cell>
          <cell r="Y357" t="str">
            <v>Entry-Level</v>
          </cell>
        </row>
        <row r="358">
          <cell r="B358">
            <v>355</v>
          </cell>
          <cell r="C358">
            <v>2022</v>
          </cell>
          <cell r="F358" t="str">
            <v>Machine Learning Engineer</v>
          </cell>
          <cell r="I358">
            <v>37300</v>
          </cell>
          <cell r="N358" t="str">
            <v>Full-Time</v>
          </cell>
          <cell r="O358" t="str">
            <v>Large</v>
          </cell>
          <cell r="Q358" t="str">
            <v>28500 £</v>
          </cell>
          <cell r="R358" t="str">
            <v>United Kingdom</v>
          </cell>
          <cell r="S358" t="str">
            <v>United Kingdom</v>
          </cell>
          <cell r="Y358" t="str">
            <v>Senior-Level</v>
          </cell>
        </row>
        <row r="359">
          <cell r="B359">
            <v>356</v>
          </cell>
          <cell r="C359">
            <v>2022</v>
          </cell>
          <cell r="F359" t="str">
            <v>Data Analyst</v>
          </cell>
          <cell r="I359">
            <v>164000</v>
          </cell>
          <cell r="N359" t="str">
            <v>Full-Time</v>
          </cell>
          <cell r="O359" t="str">
            <v>Contract</v>
          </cell>
          <cell r="Q359" t="str">
            <v>164000 $</v>
          </cell>
          <cell r="R359" t="str">
            <v>United States</v>
          </cell>
          <cell r="S359" t="str">
            <v>United States</v>
          </cell>
          <cell r="Y359" t="str">
            <v>Senior-Level</v>
          </cell>
        </row>
        <row r="360">
          <cell r="B360">
            <v>357</v>
          </cell>
          <cell r="C360">
            <v>2022</v>
          </cell>
          <cell r="F360" t="str">
            <v>Data Engineer</v>
          </cell>
          <cell r="I360">
            <v>155000</v>
          </cell>
          <cell r="N360" t="str">
            <v>Full-Time</v>
          </cell>
          <cell r="O360" t="str">
            <v>Contract</v>
          </cell>
          <cell r="Q360" t="str">
            <v>155000 $</v>
          </cell>
          <cell r="R360" t="str">
            <v>United States</v>
          </cell>
          <cell r="S360" t="str">
            <v>United States</v>
          </cell>
          <cell r="Y360" t="str">
            <v>Mid-Level</v>
          </cell>
        </row>
        <row r="361">
          <cell r="B361">
            <v>358</v>
          </cell>
          <cell r="C361">
            <v>2022</v>
          </cell>
          <cell r="F361" t="str">
            <v>Machine Learning Engineer</v>
          </cell>
          <cell r="I361">
            <v>124333</v>
          </cell>
          <cell r="N361" t="str">
            <v>Full-Time</v>
          </cell>
          <cell r="O361" t="str">
            <v>Contract</v>
          </cell>
          <cell r="Q361" t="str">
            <v>95000 £</v>
          </cell>
          <cell r="R361" t="str">
            <v>United Kingdom</v>
          </cell>
          <cell r="S361" t="str">
            <v>United Kingdom</v>
          </cell>
          <cell r="Y361" t="str">
            <v>Mid-Level</v>
          </cell>
        </row>
        <row r="362">
          <cell r="B362">
            <v>359</v>
          </cell>
          <cell r="C362">
            <v>2022</v>
          </cell>
          <cell r="F362" t="str">
            <v>Machine Learning Engineer</v>
          </cell>
          <cell r="I362">
            <v>98158</v>
          </cell>
          <cell r="N362" t="str">
            <v>Full-Time</v>
          </cell>
          <cell r="O362" t="str">
            <v>Contract</v>
          </cell>
          <cell r="Q362" t="str">
            <v>75000 £</v>
          </cell>
          <cell r="R362" t="str">
            <v>United Kingdom</v>
          </cell>
          <cell r="S362" t="str">
            <v>United Kingdom</v>
          </cell>
          <cell r="Y362" t="str">
            <v>Mid-Level</v>
          </cell>
        </row>
        <row r="363">
          <cell r="B363">
            <v>360</v>
          </cell>
          <cell r="C363">
            <v>2022</v>
          </cell>
          <cell r="F363" t="str">
            <v>AI Scientist</v>
          </cell>
          <cell r="I363">
            <v>120000</v>
          </cell>
          <cell r="N363" t="str">
            <v>Full-Time</v>
          </cell>
          <cell r="O363" t="str">
            <v>Contract</v>
          </cell>
          <cell r="Q363" t="str">
            <v>120000 $</v>
          </cell>
          <cell r="R363" t="str">
            <v>United States</v>
          </cell>
          <cell r="S363" t="str">
            <v>United States</v>
          </cell>
          <cell r="Y363" t="str">
            <v>Senior-Level</v>
          </cell>
        </row>
        <row r="364">
          <cell r="B364">
            <v>361</v>
          </cell>
          <cell r="C364">
            <v>2022</v>
          </cell>
          <cell r="F364" t="str">
            <v>Data Analytics Manager</v>
          </cell>
          <cell r="I364">
            <v>145000</v>
          </cell>
          <cell r="N364" t="str">
            <v>Full-Time</v>
          </cell>
          <cell r="O364" t="str">
            <v>Contract</v>
          </cell>
          <cell r="Q364" t="str">
            <v>145000 $</v>
          </cell>
          <cell r="R364" t="str">
            <v>United States</v>
          </cell>
          <cell r="S364" t="str">
            <v>United States</v>
          </cell>
          <cell r="Y364" t="str">
            <v>Senior-Level</v>
          </cell>
        </row>
        <row r="365">
          <cell r="B365">
            <v>362</v>
          </cell>
          <cell r="C365">
            <v>2022</v>
          </cell>
          <cell r="F365" t="str">
            <v>Data Analytics Manager</v>
          </cell>
          <cell r="I365">
            <v>105400</v>
          </cell>
          <cell r="N365" t="str">
            <v>Full-Time</v>
          </cell>
          <cell r="O365" t="str">
            <v>Contract</v>
          </cell>
          <cell r="Q365" t="str">
            <v>105400 $</v>
          </cell>
          <cell r="R365" t="str">
            <v>United States</v>
          </cell>
          <cell r="S365" t="str">
            <v>United States</v>
          </cell>
          <cell r="Y365" t="str">
            <v>Mid-Level</v>
          </cell>
        </row>
        <row r="366">
          <cell r="B366">
            <v>363</v>
          </cell>
          <cell r="C366">
            <v>2022</v>
          </cell>
          <cell r="F366" t="str">
            <v>Machine Learning Engineer</v>
          </cell>
          <cell r="I366">
            <v>87932</v>
          </cell>
          <cell r="N366" t="str">
            <v>Full-Time</v>
          </cell>
          <cell r="O366" t="str">
            <v>Contract</v>
          </cell>
          <cell r="Q366" t="str">
            <v>80000 €</v>
          </cell>
          <cell r="R366" t="str">
            <v>France</v>
          </cell>
          <cell r="S366" t="str">
            <v>Germany</v>
          </cell>
          <cell r="Y366" t="str">
            <v>Mid-Level</v>
          </cell>
        </row>
        <row r="367">
          <cell r="B367">
            <v>364</v>
          </cell>
          <cell r="C367">
            <v>2022</v>
          </cell>
          <cell r="F367" t="str">
            <v>Data Engineer</v>
          </cell>
          <cell r="I367">
            <v>117789</v>
          </cell>
          <cell r="N367" t="str">
            <v>Full-Time</v>
          </cell>
          <cell r="O367" t="str">
            <v>Contract</v>
          </cell>
          <cell r="Q367" t="str">
            <v>90000 £</v>
          </cell>
          <cell r="R367" t="str">
            <v>United Kingdom</v>
          </cell>
          <cell r="S367" t="str">
            <v>United Kingdom</v>
          </cell>
          <cell r="Y367" t="str">
            <v>Senior-Level</v>
          </cell>
        </row>
        <row r="368">
          <cell r="B368">
            <v>365</v>
          </cell>
          <cell r="C368">
            <v>2022</v>
          </cell>
          <cell r="F368" t="str">
            <v>Data Scientist</v>
          </cell>
          <cell r="I368">
            <v>215300</v>
          </cell>
          <cell r="N368" t="str">
            <v>Full-Time</v>
          </cell>
          <cell r="O368" t="str">
            <v>Large</v>
          </cell>
          <cell r="Q368" t="str">
            <v>215300 $</v>
          </cell>
          <cell r="R368" t="str">
            <v>United States</v>
          </cell>
          <cell r="S368" t="str">
            <v>United States</v>
          </cell>
          <cell r="Y368" t="str">
            <v>Senior-Level</v>
          </cell>
        </row>
        <row r="369">
          <cell r="B369">
            <v>366</v>
          </cell>
          <cell r="C369">
            <v>2022</v>
          </cell>
          <cell r="F369" t="str">
            <v>Data Scientist</v>
          </cell>
          <cell r="I369">
            <v>158200</v>
          </cell>
          <cell r="N369" t="str">
            <v>Full-Time</v>
          </cell>
          <cell r="O369" t="str">
            <v>Large</v>
          </cell>
          <cell r="Q369" t="str">
            <v>158200 $</v>
          </cell>
          <cell r="R369" t="str">
            <v>United States</v>
          </cell>
          <cell r="S369" t="str">
            <v>United States</v>
          </cell>
          <cell r="Y369" t="str">
            <v>Senior-Level</v>
          </cell>
        </row>
        <row r="370">
          <cell r="B370">
            <v>367</v>
          </cell>
          <cell r="C370">
            <v>2022</v>
          </cell>
          <cell r="F370" t="str">
            <v>Data Engineer</v>
          </cell>
          <cell r="I370">
            <v>209100</v>
          </cell>
          <cell r="N370" t="str">
            <v>Full-Time</v>
          </cell>
          <cell r="O370" t="str">
            <v>Large</v>
          </cell>
          <cell r="Q370" t="str">
            <v>209100 $</v>
          </cell>
          <cell r="R370" t="str">
            <v>United States</v>
          </cell>
          <cell r="S370" t="str">
            <v>United States</v>
          </cell>
          <cell r="Y370" t="str">
            <v>Senior-Level</v>
          </cell>
        </row>
        <row r="371">
          <cell r="B371">
            <v>368</v>
          </cell>
          <cell r="C371">
            <v>2022</v>
          </cell>
          <cell r="F371" t="str">
            <v>Data Engineer</v>
          </cell>
          <cell r="I371">
            <v>154600</v>
          </cell>
          <cell r="N371" t="str">
            <v>Full-Time</v>
          </cell>
          <cell r="O371" t="str">
            <v>Large</v>
          </cell>
          <cell r="Q371" t="str">
            <v>154600 $</v>
          </cell>
          <cell r="R371" t="str">
            <v>United States</v>
          </cell>
          <cell r="S371" t="str">
            <v>United States</v>
          </cell>
          <cell r="Y371" t="str">
            <v>Senior-Level</v>
          </cell>
        </row>
        <row r="372">
          <cell r="B372">
            <v>369</v>
          </cell>
          <cell r="C372">
            <v>2022</v>
          </cell>
          <cell r="F372" t="str">
            <v>Data Analyst</v>
          </cell>
          <cell r="I372">
            <v>115934</v>
          </cell>
          <cell r="N372" t="str">
            <v>Full-Time</v>
          </cell>
          <cell r="O372" t="str">
            <v>Contract</v>
          </cell>
          <cell r="Q372" t="str">
            <v>115934 $</v>
          </cell>
          <cell r="R372" t="str">
            <v>United States</v>
          </cell>
          <cell r="S372" t="str">
            <v>United States</v>
          </cell>
          <cell r="Y372" t="str">
            <v>Senior-Level</v>
          </cell>
        </row>
        <row r="373">
          <cell r="B373">
            <v>370</v>
          </cell>
          <cell r="C373">
            <v>2022</v>
          </cell>
          <cell r="F373" t="str">
            <v>Data Analyst</v>
          </cell>
          <cell r="I373">
            <v>81666</v>
          </cell>
          <cell r="N373" t="str">
            <v>Full-Time</v>
          </cell>
          <cell r="O373" t="str">
            <v>Contract</v>
          </cell>
          <cell r="Q373" t="str">
            <v>81666 $</v>
          </cell>
          <cell r="R373" t="str">
            <v>United States</v>
          </cell>
          <cell r="S373" t="str">
            <v>United States</v>
          </cell>
          <cell r="Y373" t="str">
            <v>Senior-Level</v>
          </cell>
        </row>
        <row r="374">
          <cell r="B374">
            <v>371</v>
          </cell>
          <cell r="C374">
            <v>2022</v>
          </cell>
          <cell r="F374" t="str">
            <v>Data Engineer</v>
          </cell>
          <cell r="I374">
            <v>175000</v>
          </cell>
          <cell r="N374" t="str">
            <v>Full-Time</v>
          </cell>
          <cell r="O374" t="str">
            <v>Contract</v>
          </cell>
          <cell r="Q374" t="str">
            <v>175000 $</v>
          </cell>
          <cell r="R374" t="str">
            <v>United States</v>
          </cell>
          <cell r="S374" t="str">
            <v>United States</v>
          </cell>
          <cell r="Y374" t="str">
            <v>Mid-Level</v>
          </cell>
        </row>
        <row r="375">
          <cell r="B375">
            <v>372</v>
          </cell>
          <cell r="C375">
            <v>2022</v>
          </cell>
          <cell r="F375" t="str">
            <v>Data Engineer</v>
          </cell>
          <cell r="I375">
            <v>98158</v>
          </cell>
          <cell r="N375" t="str">
            <v>Full-Time</v>
          </cell>
          <cell r="O375" t="str">
            <v>Contract</v>
          </cell>
          <cell r="Q375" t="str">
            <v>75000 £</v>
          </cell>
          <cell r="R375" t="str">
            <v>United Kingdom</v>
          </cell>
          <cell r="S375" t="str">
            <v>United Kingdom</v>
          </cell>
          <cell r="Y375" t="str">
            <v>Senior-Level</v>
          </cell>
        </row>
        <row r="376">
          <cell r="B376">
            <v>373</v>
          </cell>
          <cell r="C376">
            <v>2022</v>
          </cell>
          <cell r="F376" t="str">
            <v>Data Engineer</v>
          </cell>
          <cell r="I376">
            <v>183600</v>
          </cell>
          <cell r="N376" t="str">
            <v>Full-Time</v>
          </cell>
          <cell r="O376" t="str">
            <v>Large</v>
          </cell>
          <cell r="Q376" t="str">
            <v>183600 $</v>
          </cell>
          <cell r="R376" t="str">
            <v>United States</v>
          </cell>
          <cell r="S376" t="str">
            <v>United States</v>
          </cell>
          <cell r="Y376" t="str">
            <v>Mid-Level</v>
          </cell>
        </row>
        <row r="377">
          <cell r="B377">
            <v>374</v>
          </cell>
          <cell r="C377">
            <v>2022</v>
          </cell>
          <cell r="F377" t="str">
            <v>Data Analyst</v>
          </cell>
          <cell r="I377">
            <v>52351</v>
          </cell>
          <cell r="N377" t="str">
            <v>Full-Time</v>
          </cell>
          <cell r="O377" t="str">
            <v>Contract</v>
          </cell>
          <cell r="Q377" t="str">
            <v>40000 £</v>
          </cell>
          <cell r="R377" t="str">
            <v>United Kingdom</v>
          </cell>
          <cell r="S377" t="str">
            <v>United Kingdom</v>
          </cell>
          <cell r="Y377" t="str">
            <v>Mid-Level</v>
          </cell>
        </row>
        <row r="378">
          <cell r="B378">
            <v>375</v>
          </cell>
          <cell r="C378">
            <v>2022</v>
          </cell>
          <cell r="F378" t="str">
            <v>Data Scientist</v>
          </cell>
          <cell r="I378">
            <v>71982</v>
          </cell>
          <cell r="N378" t="str">
            <v>Full-Time</v>
          </cell>
          <cell r="O378" t="str">
            <v>Contract</v>
          </cell>
          <cell r="Q378" t="str">
            <v>55000 £</v>
          </cell>
          <cell r="R378" t="str">
            <v>United Kingdom</v>
          </cell>
          <cell r="S378" t="str">
            <v>United Kingdom</v>
          </cell>
          <cell r="Y378" t="str">
            <v>Mid-Level</v>
          </cell>
        </row>
        <row r="379">
          <cell r="B379">
            <v>376</v>
          </cell>
          <cell r="C379">
            <v>2022</v>
          </cell>
          <cell r="F379" t="str">
            <v>Data Scientist</v>
          </cell>
          <cell r="I379">
            <v>45807</v>
          </cell>
          <cell r="N379" t="str">
            <v>Full-Time</v>
          </cell>
          <cell r="O379" t="str">
            <v>Contract</v>
          </cell>
          <cell r="Q379" t="str">
            <v>35000 £</v>
          </cell>
          <cell r="R379" t="str">
            <v>United Kingdom</v>
          </cell>
          <cell r="S379" t="str">
            <v>United Kingdom</v>
          </cell>
          <cell r="Y379" t="str">
            <v>Mid-Level</v>
          </cell>
        </row>
        <row r="380">
          <cell r="B380">
            <v>377</v>
          </cell>
          <cell r="C380">
            <v>2022</v>
          </cell>
          <cell r="F380" t="str">
            <v>Data Engineer</v>
          </cell>
          <cell r="I380">
            <v>65949</v>
          </cell>
          <cell r="N380" t="str">
            <v>Full-Time</v>
          </cell>
          <cell r="O380" t="str">
            <v>Contract</v>
          </cell>
          <cell r="Q380" t="str">
            <v>60000 €</v>
          </cell>
          <cell r="R380" t="str">
            <v>Greece</v>
          </cell>
          <cell r="S380" t="str">
            <v>Greece</v>
          </cell>
          <cell r="Y380" t="str">
            <v>Mid-Level</v>
          </cell>
        </row>
        <row r="381">
          <cell r="B381">
            <v>378</v>
          </cell>
          <cell r="C381">
            <v>2022</v>
          </cell>
          <cell r="F381" t="str">
            <v>Data Engineer</v>
          </cell>
          <cell r="I381">
            <v>49461</v>
          </cell>
          <cell r="N381" t="str">
            <v>Full-Time</v>
          </cell>
          <cell r="O381" t="str">
            <v>Contract</v>
          </cell>
          <cell r="Q381" t="str">
            <v>45000 €</v>
          </cell>
          <cell r="R381" t="str">
            <v>Greece</v>
          </cell>
          <cell r="S381" t="str">
            <v>Greece</v>
          </cell>
          <cell r="Y381" t="str">
            <v>Mid-Level</v>
          </cell>
        </row>
        <row r="382">
          <cell r="B382">
            <v>379</v>
          </cell>
          <cell r="C382">
            <v>2022</v>
          </cell>
          <cell r="F382" t="str">
            <v>Data Engineer</v>
          </cell>
          <cell r="I382">
            <v>58894</v>
          </cell>
          <cell r="N382" t="str">
            <v>Full-Time</v>
          </cell>
          <cell r="O382" t="str">
            <v>Contract</v>
          </cell>
          <cell r="Q382" t="str">
            <v>45000 £</v>
          </cell>
          <cell r="R382" t="str">
            <v>United Kingdom</v>
          </cell>
          <cell r="S382" t="str">
            <v>United Kingdom</v>
          </cell>
          <cell r="Y382" t="str">
            <v>Senior-Level</v>
          </cell>
        </row>
        <row r="383">
          <cell r="B383">
            <v>380</v>
          </cell>
          <cell r="C383">
            <v>2022</v>
          </cell>
          <cell r="F383" t="str">
            <v>Data Scientist</v>
          </cell>
          <cell r="I383">
            <v>260000</v>
          </cell>
          <cell r="N383" t="str">
            <v>Full-Time</v>
          </cell>
          <cell r="O383" t="str">
            <v>Contract</v>
          </cell>
          <cell r="Q383" t="str">
            <v>260000 $</v>
          </cell>
          <cell r="R383" t="str">
            <v>United States</v>
          </cell>
          <cell r="S383" t="str">
            <v>United States</v>
          </cell>
          <cell r="Y383" t="str">
            <v>Senior-Level</v>
          </cell>
        </row>
        <row r="384">
          <cell r="B384">
            <v>381</v>
          </cell>
          <cell r="C384">
            <v>2022</v>
          </cell>
          <cell r="F384" t="str">
            <v>Data Science Engineer</v>
          </cell>
          <cell r="I384">
            <v>60000</v>
          </cell>
          <cell r="N384" t="str">
            <v>Full-Time</v>
          </cell>
          <cell r="O384" t="str">
            <v>Large</v>
          </cell>
          <cell r="Q384" t="str">
            <v>60000 $</v>
          </cell>
          <cell r="R384" t="str">
            <v>Argentina</v>
          </cell>
          <cell r="S384" t="str">
            <v>Mexico</v>
          </cell>
          <cell r="Y384" t="str">
            <v>Mid-Level</v>
          </cell>
        </row>
        <row r="385">
          <cell r="B385">
            <v>382</v>
          </cell>
          <cell r="C385">
            <v>2022</v>
          </cell>
          <cell r="F385" t="str">
            <v>Data Engineer</v>
          </cell>
          <cell r="I385">
            <v>63900</v>
          </cell>
          <cell r="N385" t="str">
            <v>Full-Time</v>
          </cell>
          <cell r="O385" t="str">
            <v>Contract</v>
          </cell>
          <cell r="Q385" t="str">
            <v>63900 $</v>
          </cell>
          <cell r="R385" t="str">
            <v>United States</v>
          </cell>
          <cell r="S385" t="str">
            <v>United States</v>
          </cell>
          <cell r="Y385" t="str">
            <v>Mid-Level</v>
          </cell>
        </row>
        <row r="386">
          <cell r="B386">
            <v>383</v>
          </cell>
          <cell r="C386">
            <v>2022</v>
          </cell>
          <cell r="F386" t="str">
            <v>Machine Learning Scientist</v>
          </cell>
          <cell r="I386">
            <v>160000</v>
          </cell>
          <cell r="N386" t="str">
            <v>Full-Time</v>
          </cell>
          <cell r="O386" t="str">
            <v>Large</v>
          </cell>
          <cell r="Q386" t="str">
            <v>160000 $</v>
          </cell>
          <cell r="R386" t="str">
            <v>United States</v>
          </cell>
          <cell r="S386" t="str">
            <v>United States</v>
          </cell>
          <cell r="Y386" t="str">
            <v>Mid-Level</v>
          </cell>
        </row>
        <row r="387">
          <cell r="B387">
            <v>384</v>
          </cell>
          <cell r="C387">
            <v>2022</v>
          </cell>
          <cell r="F387" t="str">
            <v>Machine Learning Scientist</v>
          </cell>
          <cell r="I387">
            <v>112300</v>
          </cell>
          <cell r="N387" t="str">
            <v>Full-Time</v>
          </cell>
          <cell r="O387" t="str">
            <v>Large</v>
          </cell>
          <cell r="Q387" t="str">
            <v>112300 $</v>
          </cell>
          <cell r="R387" t="str">
            <v>United States</v>
          </cell>
          <cell r="S387" t="str">
            <v>United States</v>
          </cell>
          <cell r="Y387" t="str">
            <v>Mid-Level</v>
          </cell>
        </row>
        <row r="388">
          <cell r="B388">
            <v>385</v>
          </cell>
          <cell r="C388">
            <v>2022</v>
          </cell>
          <cell r="F388" t="str">
            <v>Data Science Manager</v>
          </cell>
          <cell r="I388">
            <v>241000</v>
          </cell>
          <cell r="N388" t="str">
            <v>Full-Time</v>
          </cell>
          <cell r="O388" t="str">
            <v>Contract</v>
          </cell>
          <cell r="Q388" t="str">
            <v>241000 $</v>
          </cell>
          <cell r="R388" t="str">
            <v>United States</v>
          </cell>
          <cell r="S388" t="str">
            <v>United States</v>
          </cell>
          <cell r="Y388" t="str">
            <v>Mid-Level</v>
          </cell>
        </row>
        <row r="389">
          <cell r="B389">
            <v>386</v>
          </cell>
          <cell r="C389">
            <v>2022</v>
          </cell>
          <cell r="F389" t="str">
            <v>Data Science Manager</v>
          </cell>
          <cell r="I389">
            <v>159000</v>
          </cell>
          <cell r="N389" t="str">
            <v>Full-Time</v>
          </cell>
          <cell r="O389" t="str">
            <v>Contract</v>
          </cell>
          <cell r="Q389" t="str">
            <v>159000 $</v>
          </cell>
          <cell r="R389" t="str">
            <v>United States</v>
          </cell>
          <cell r="S389" t="str">
            <v>United States</v>
          </cell>
          <cell r="Y389" t="str">
            <v>Mid-Level</v>
          </cell>
        </row>
        <row r="390">
          <cell r="B390">
            <v>387</v>
          </cell>
          <cell r="C390">
            <v>2022</v>
          </cell>
          <cell r="F390" t="str">
            <v>Data Engineer</v>
          </cell>
          <cell r="I390">
            <v>82900</v>
          </cell>
          <cell r="N390" t="str">
            <v>Full-Time</v>
          </cell>
          <cell r="O390" t="str">
            <v>Contract</v>
          </cell>
          <cell r="Q390" t="str">
            <v>82900 $</v>
          </cell>
          <cell r="R390" t="str">
            <v>United States</v>
          </cell>
          <cell r="S390" t="str">
            <v>United States</v>
          </cell>
          <cell r="Y390" t="str">
            <v>Senior-Level</v>
          </cell>
        </row>
        <row r="391">
          <cell r="B391">
            <v>388</v>
          </cell>
          <cell r="C391">
            <v>2022</v>
          </cell>
          <cell r="F391" t="str">
            <v>Data Engineer</v>
          </cell>
          <cell r="I391">
            <v>100800</v>
          </cell>
          <cell r="N391" t="str">
            <v>Full-Time</v>
          </cell>
          <cell r="O391" t="str">
            <v>Large</v>
          </cell>
          <cell r="Q391" t="str">
            <v>100800 $</v>
          </cell>
          <cell r="R391" t="str">
            <v>United States</v>
          </cell>
          <cell r="S391" t="str">
            <v>United States</v>
          </cell>
          <cell r="Y391" t="str">
            <v>Mid-Level</v>
          </cell>
        </row>
        <row r="392">
          <cell r="B392">
            <v>389</v>
          </cell>
          <cell r="C392">
            <v>2022</v>
          </cell>
          <cell r="F392" t="str">
            <v>Data Engineer</v>
          </cell>
          <cell r="I392">
            <v>49461</v>
          </cell>
          <cell r="N392" t="str">
            <v>Full-Time</v>
          </cell>
          <cell r="O392" t="str">
            <v>Contract</v>
          </cell>
          <cell r="Q392" t="str">
            <v>45000 €</v>
          </cell>
          <cell r="R392" t="str">
            <v>Spain</v>
          </cell>
          <cell r="S392" t="str">
            <v>Spain</v>
          </cell>
          <cell r="Y392" t="str">
            <v>Senior-Level</v>
          </cell>
        </row>
        <row r="393">
          <cell r="B393">
            <v>390</v>
          </cell>
          <cell r="C393">
            <v>2022</v>
          </cell>
          <cell r="F393" t="str">
            <v>Data Scientist</v>
          </cell>
          <cell r="I393">
            <v>140400</v>
          </cell>
          <cell r="N393" t="str">
            <v>Full-Time</v>
          </cell>
          <cell r="O393" t="str">
            <v>Large</v>
          </cell>
          <cell r="Q393" t="str">
            <v>140400 $</v>
          </cell>
          <cell r="R393" t="str">
            <v>United States</v>
          </cell>
          <cell r="S393" t="str">
            <v>United States</v>
          </cell>
          <cell r="Y393" t="str">
            <v>Mid-Level</v>
          </cell>
        </row>
        <row r="394">
          <cell r="B394">
            <v>391</v>
          </cell>
          <cell r="C394">
            <v>2022</v>
          </cell>
          <cell r="F394" t="str">
            <v>Data Analyst</v>
          </cell>
          <cell r="I394">
            <v>39263</v>
          </cell>
          <cell r="N394" t="str">
            <v>Full-Time</v>
          </cell>
          <cell r="O394" t="str">
            <v>Contract</v>
          </cell>
          <cell r="Q394" t="str">
            <v>30000 £</v>
          </cell>
          <cell r="R394" t="str">
            <v>United Kingdom</v>
          </cell>
          <cell r="S394" t="str">
            <v>United Kingdom</v>
          </cell>
          <cell r="Y394" t="str">
            <v>Mid-Level</v>
          </cell>
        </row>
        <row r="395">
          <cell r="B395">
            <v>392</v>
          </cell>
          <cell r="C395">
            <v>2022</v>
          </cell>
          <cell r="F395" t="str">
            <v>Data Analyst</v>
          </cell>
          <cell r="I395">
            <v>43966</v>
          </cell>
          <cell r="N395" t="str">
            <v>Full-Time</v>
          </cell>
          <cell r="O395" t="str">
            <v>Contract</v>
          </cell>
          <cell r="Q395" t="str">
            <v>40000 €</v>
          </cell>
          <cell r="R395" t="str">
            <v>Spain</v>
          </cell>
          <cell r="S395" t="str">
            <v>Spain</v>
          </cell>
          <cell r="Y395" t="str">
            <v>Mid-Level</v>
          </cell>
        </row>
        <row r="396">
          <cell r="B396">
            <v>393</v>
          </cell>
          <cell r="C396">
            <v>2022</v>
          </cell>
          <cell r="F396" t="str">
            <v>Data Analyst</v>
          </cell>
          <cell r="I396">
            <v>32974</v>
          </cell>
          <cell r="N396" t="str">
            <v>Full-Time</v>
          </cell>
          <cell r="O396" t="str">
            <v>Contract</v>
          </cell>
          <cell r="Q396" t="str">
            <v>30000 €</v>
          </cell>
          <cell r="R396" t="str">
            <v>Spain</v>
          </cell>
          <cell r="S396" t="str">
            <v>Spain</v>
          </cell>
          <cell r="Y396" t="str">
            <v>Mid-Level</v>
          </cell>
        </row>
        <row r="397">
          <cell r="B397">
            <v>394</v>
          </cell>
          <cell r="C397">
            <v>2022</v>
          </cell>
          <cell r="F397" t="str">
            <v>Data Engineer</v>
          </cell>
          <cell r="I397">
            <v>87932</v>
          </cell>
          <cell r="N397" t="str">
            <v>Full-Time</v>
          </cell>
          <cell r="O397" t="str">
            <v>Contract</v>
          </cell>
          <cell r="Q397" t="str">
            <v>80000 €</v>
          </cell>
          <cell r="R397" t="str">
            <v>Spain</v>
          </cell>
          <cell r="S397" t="str">
            <v>Spain</v>
          </cell>
          <cell r="Y397" t="str">
            <v>Mid-Level</v>
          </cell>
        </row>
        <row r="398">
          <cell r="B398">
            <v>395</v>
          </cell>
          <cell r="C398">
            <v>2022</v>
          </cell>
          <cell r="F398" t="str">
            <v>Data Engineer</v>
          </cell>
          <cell r="I398">
            <v>76940</v>
          </cell>
          <cell r="N398" t="str">
            <v>Full-Time</v>
          </cell>
          <cell r="O398" t="str">
            <v>Contract</v>
          </cell>
          <cell r="Q398" t="str">
            <v>70000 €</v>
          </cell>
          <cell r="R398" t="str">
            <v>Spain</v>
          </cell>
          <cell r="S398" t="str">
            <v>Spain</v>
          </cell>
          <cell r="Y398" t="str">
            <v>Mid-Level</v>
          </cell>
        </row>
        <row r="399">
          <cell r="B399">
            <v>396</v>
          </cell>
          <cell r="C399">
            <v>2022</v>
          </cell>
          <cell r="F399" t="str">
            <v>Data Engineer</v>
          </cell>
          <cell r="I399">
            <v>104702</v>
          </cell>
          <cell r="N399" t="str">
            <v>Full-Time</v>
          </cell>
          <cell r="O399" t="str">
            <v>Contract</v>
          </cell>
          <cell r="Q399" t="str">
            <v>80000 £</v>
          </cell>
          <cell r="R399" t="str">
            <v>United Kingdom</v>
          </cell>
          <cell r="S399" t="str">
            <v>United Kingdom</v>
          </cell>
          <cell r="Y399" t="str">
            <v>Mid-Level</v>
          </cell>
        </row>
        <row r="400">
          <cell r="B400">
            <v>397</v>
          </cell>
          <cell r="C400">
            <v>2022</v>
          </cell>
          <cell r="F400" t="str">
            <v>Data Engineer</v>
          </cell>
          <cell r="I400">
            <v>65949</v>
          </cell>
          <cell r="N400" t="str">
            <v>Full-Time</v>
          </cell>
          <cell r="O400" t="str">
            <v>Contract</v>
          </cell>
          <cell r="Q400" t="str">
            <v>60000 €</v>
          </cell>
          <cell r="R400" t="str">
            <v>Spain</v>
          </cell>
          <cell r="S400" t="str">
            <v>Spain</v>
          </cell>
          <cell r="Y400" t="str">
            <v>Mid-Level</v>
          </cell>
        </row>
        <row r="401">
          <cell r="B401">
            <v>398</v>
          </cell>
          <cell r="C401">
            <v>2022</v>
          </cell>
          <cell r="F401" t="str">
            <v>Data Engineer</v>
          </cell>
          <cell r="I401">
            <v>87932</v>
          </cell>
          <cell r="N401" t="str">
            <v>Full-Time</v>
          </cell>
          <cell r="O401" t="str">
            <v>Contract</v>
          </cell>
          <cell r="Q401" t="str">
            <v>80000 €</v>
          </cell>
          <cell r="R401" t="str">
            <v>Greece</v>
          </cell>
          <cell r="S401" t="str">
            <v>Greece</v>
          </cell>
          <cell r="Y401" t="str">
            <v>Mid-Level</v>
          </cell>
        </row>
        <row r="402">
          <cell r="B402">
            <v>399</v>
          </cell>
          <cell r="C402">
            <v>2022</v>
          </cell>
          <cell r="F402" t="str">
            <v>Data Analyst</v>
          </cell>
          <cell r="I402">
            <v>43966</v>
          </cell>
          <cell r="N402" t="str">
            <v>Full-Time</v>
          </cell>
          <cell r="O402" t="str">
            <v>Contract</v>
          </cell>
          <cell r="Q402" t="str">
            <v>40000 €</v>
          </cell>
          <cell r="R402" t="str">
            <v>Greece</v>
          </cell>
          <cell r="S402" t="str">
            <v>Greece</v>
          </cell>
          <cell r="Y402" t="str">
            <v>Mid-Level</v>
          </cell>
        </row>
        <row r="403">
          <cell r="B403">
            <v>400</v>
          </cell>
          <cell r="C403">
            <v>2022</v>
          </cell>
          <cell r="F403" t="str">
            <v>Data Analyst</v>
          </cell>
          <cell r="I403">
            <v>32974</v>
          </cell>
          <cell r="N403" t="str">
            <v>Full-Time</v>
          </cell>
          <cell r="O403" t="str">
            <v>Contract</v>
          </cell>
          <cell r="Q403" t="str">
            <v>30000 €</v>
          </cell>
          <cell r="R403" t="str">
            <v>Greece</v>
          </cell>
          <cell r="S403" t="str">
            <v>Greece</v>
          </cell>
          <cell r="Y403" t="str">
            <v>Mid-Level</v>
          </cell>
        </row>
        <row r="404">
          <cell r="B404">
            <v>401</v>
          </cell>
          <cell r="C404">
            <v>2022</v>
          </cell>
          <cell r="F404" t="str">
            <v>Data Engineer</v>
          </cell>
          <cell r="I404">
            <v>76940</v>
          </cell>
          <cell r="N404" t="str">
            <v>Full-Time</v>
          </cell>
          <cell r="O404" t="str">
            <v>Contract</v>
          </cell>
          <cell r="Q404" t="str">
            <v>70000 €</v>
          </cell>
          <cell r="R404" t="str">
            <v>Greece</v>
          </cell>
          <cell r="S404" t="str">
            <v>Greece</v>
          </cell>
          <cell r="Y404" t="str">
            <v>Senior-Level</v>
          </cell>
        </row>
        <row r="405">
          <cell r="B405">
            <v>402</v>
          </cell>
          <cell r="C405">
            <v>2022</v>
          </cell>
          <cell r="F405" t="str">
            <v>Data Engineer</v>
          </cell>
          <cell r="I405">
            <v>180000</v>
          </cell>
          <cell r="N405" t="str">
            <v>Full-Time</v>
          </cell>
          <cell r="O405" t="str">
            <v>Contract</v>
          </cell>
          <cell r="Q405" t="str">
            <v>180000 $</v>
          </cell>
          <cell r="R405" t="str">
            <v>United States</v>
          </cell>
          <cell r="S405" t="str">
            <v>United States</v>
          </cell>
          <cell r="Y405" t="str">
            <v>Entry-Level</v>
          </cell>
        </row>
        <row r="406">
          <cell r="B406">
            <v>403</v>
          </cell>
          <cell r="C406">
            <v>2022</v>
          </cell>
          <cell r="F406" t="str">
            <v>ML Engineer</v>
          </cell>
          <cell r="I406">
            <v>21983</v>
          </cell>
          <cell r="N406" t="str">
            <v>Full-Time</v>
          </cell>
          <cell r="O406" t="str">
            <v>Large</v>
          </cell>
          <cell r="Q406" t="str">
            <v>20000 €</v>
          </cell>
          <cell r="R406" t="str">
            <v>Portugal</v>
          </cell>
          <cell r="S406" t="str">
            <v>Portugal</v>
          </cell>
          <cell r="Y406" t="str">
            <v>Mid-Level</v>
          </cell>
        </row>
        <row r="407">
          <cell r="B407">
            <v>404</v>
          </cell>
          <cell r="C407">
            <v>2022</v>
          </cell>
          <cell r="F407" t="str">
            <v>Machine Learning Developer</v>
          </cell>
          <cell r="I407">
            <v>78791</v>
          </cell>
          <cell r="N407" t="str">
            <v>Full-Time</v>
          </cell>
          <cell r="O407" t="str">
            <v>Contract</v>
          </cell>
          <cell r="Q407" t="str">
            <v>100000 C$</v>
          </cell>
          <cell r="R407" t="str">
            <v>Canada</v>
          </cell>
          <cell r="S407" t="str">
            <v>Canada</v>
          </cell>
          <cell r="Y407" t="str">
            <v>Executive</v>
          </cell>
        </row>
        <row r="408">
          <cell r="B408">
            <v>405</v>
          </cell>
          <cell r="C408">
            <v>2022</v>
          </cell>
          <cell r="F408" t="str">
            <v>Director of Data Science</v>
          </cell>
          <cell r="I408">
            <v>196979</v>
          </cell>
          <cell r="N408" t="str">
            <v>Full-Time</v>
          </cell>
          <cell r="O408" t="str">
            <v>Large</v>
          </cell>
          <cell r="Q408" t="str">
            <v>250000 C$</v>
          </cell>
          <cell r="R408" t="str">
            <v>Canada</v>
          </cell>
          <cell r="S408" t="str">
            <v>Canada</v>
          </cell>
          <cell r="Y408" t="str">
            <v>Mid-Level</v>
          </cell>
        </row>
        <row r="409">
          <cell r="B409">
            <v>406</v>
          </cell>
          <cell r="C409">
            <v>2022</v>
          </cell>
          <cell r="F409" t="str">
            <v>Machine Learning Engineer</v>
          </cell>
          <cell r="I409">
            <v>120000</v>
          </cell>
          <cell r="N409" t="str">
            <v>Full-Time</v>
          </cell>
          <cell r="O409" t="str">
            <v>Small</v>
          </cell>
          <cell r="Q409" t="str">
            <v>120000 $</v>
          </cell>
          <cell r="R409" t="str">
            <v>United States</v>
          </cell>
          <cell r="S409" t="str">
            <v>United States</v>
          </cell>
          <cell r="Y409" t="str">
            <v>Entry-Level</v>
          </cell>
        </row>
        <row r="410">
          <cell r="B410">
            <v>407</v>
          </cell>
          <cell r="C410">
            <v>2022</v>
          </cell>
          <cell r="F410" t="str">
            <v>Computer Vision Engineer</v>
          </cell>
          <cell r="I410">
            <v>125000</v>
          </cell>
          <cell r="N410" t="str">
            <v>Full-Time</v>
          </cell>
          <cell r="O410" t="str">
            <v>Contract</v>
          </cell>
          <cell r="Q410" t="str">
            <v>125000 $</v>
          </cell>
          <cell r="R410" t="str">
            <v>United States</v>
          </cell>
          <cell r="S410" t="str">
            <v>United States</v>
          </cell>
          <cell r="Y410" t="str">
            <v>Mid-Level</v>
          </cell>
        </row>
        <row r="411">
          <cell r="B411">
            <v>408</v>
          </cell>
          <cell r="C411">
            <v>2022</v>
          </cell>
          <cell r="F411" t="str">
            <v>NLP Engineer</v>
          </cell>
          <cell r="I411">
            <v>37236</v>
          </cell>
          <cell r="N411" t="str">
            <v>Full-Time</v>
          </cell>
          <cell r="O411" t="str">
            <v>Large</v>
          </cell>
          <cell r="Q411" t="str">
            <v>240000 CN¥</v>
          </cell>
          <cell r="R411" t="str">
            <v>United States</v>
          </cell>
          <cell r="S411" t="str">
            <v>United States</v>
          </cell>
          <cell r="Y411" t="str">
            <v>Senior-Level</v>
          </cell>
        </row>
        <row r="412">
          <cell r="B412">
            <v>409</v>
          </cell>
          <cell r="C412">
            <v>2022</v>
          </cell>
          <cell r="F412" t="str">
            <v>Data Engineer</v>
          </cell>
          <cell r="I412">
            <v>105000</v>
          </cell>
          <cell r="N412" t="str">
            <v>Full-Time</v>
          </cell>
          <cell r="O412" t="str">
            <v>Contract</v>
          </cell>
          <cell r="Q412" t="str">
            <v>105000 $</v>
          </cell>
          <cell r="R412" t="str">
            <v>United States</v>
          </cell>
          <cell r="S412" t="str">
            <v>United States</v>
          </cell>
          <cell r="Y412" t="str">
            <v>Senior-Level</v>
          </cell>
        </row>
        <row r="413">
          <cell r="B413">
            <v>410</v>
          </cell>
          <cell r="C413">
            <v>2022</v>
          </cell>
          <cell r="F413" t="str">
            <v>Lead Machine Learning Engineer</v>
          </cell>
          <cell r="I413">
            <v>87932</v>
          </cell>
          <cell r="N413" t="str">
            <v>Full-Time</v>
          </cell>
          <cell r="O413" t="str">
            <v>Contract</v>
          </cell>
          <cell r="Q413" t="str">
            <v>80000 €</v>
          </cell>
          <cell r="R413" t="str">
            <v>Germany</v>
          </cell>
          <cell r="S413" t="str">
            <v>Germany</v>
          </cell>
          <cell r="Y413" t="str">
            <v>Mid-Level</v>
          </cell>
        </row>
        <row r="414">
          <cell r="B414">
            <v>411</v>
          </cell>
          <cell r="C414">
            <v>2022</v>
          </cell>
          <cell r="F414" t="str">
            <v>Business Data Analyst</v>
          </cell>
          <cell r="I414">
            <v>18442</v>
          </cell>
          <cell r="N414" t="str">
            <v>Full-Time</v>
          </cell>
          <cell r="O414" t="str">
            <v>Contract</v>
          </cell>
          <cell r="Q414" t="str">
            <v>1400000 ₹</v>
          </cell>
          <cell r="R414" t="str">
            <v>India</v>
          </cell>
          <cell r="S414" t="str">
            <v>India</v>
          </cell>
          <cell r="Y414" t="str">
            <v>Mid-Level</v>
          </cell>
        </row>
        <row r="415">
          <cell r="B415">
            <v>412</v>
          </cell>
          <cell r="C415">
            <v>2022</v>
          </cell>
          <cell r="F415" t="str">
            <v>Data Scientist</v>
          </cell>
          <cell r="I415">
            <v>31615</v>
          </cell>
          <cell r="N415" t="str">
            <v>Full-Time</v>
          </cell>
          <cell r="O415" t="str">
            <v>Large</v>
          </cell>
          <cell r="Q415" t="str">
            <v>2400000 ₹</v>
          </cell>
          <cell r="R415" t="str">
            <v>India</v>
          </cell>
          <cell r="S415" t="str">
            <v>India</v>
          </cell>
          <cell r="Y415" t="str">
            <v>Mid-Level</v>
          </cell>
        </row>
        <row r="416">
          <cell r="B416">
            <v>413</v>
          </cell>
          <cell r="C416">
            <v>2022</v>
          </cell>
          <cell r="F416" t="str">
            <v>Machine Learning Infrastructure Engineer</v>
          </cell>
          <cell r="I416">
            <v>58255</v>
          </cell>
          <cell r="N416" t="str">
            <v>Full-Time</v>
          </cell>
          <cell r="O416" t="str">
            <v>Large</v>
          </cell>
          <cell r="Q416" t="str">
            <v>53000 €</v>
          </cell>
          <cell r="R416" t="str">
            <v>Portugal</v>
          </cell>
          <cell r="S416" t="str">
            <v>Portugal</v>
          </cell>
          <cell r="Y416" t="str">
            <v>Entry-Level</v>
          </cell>
        </row>
        <row r="417">
          <cell r="B417">
            <v>414</v>
          </cell>
          <cell r="C417">
            <v>2022</v>
          </cell>
          <cell r="F417" t="str">
            <v>Financial Data Analyst</v>
          </cell>
          <cell r="I417">
            <v>100000</v>
          </cell>
          <cell r="N417" t="str">
            <v>Full-Time</v>
          </cell>
          <cell r="O417" t="str">
            <v>Large</v>
          </cell>
          <cell r="Q417" t="str">
            <v>100000 $</v>
          </cell>
          <cell r="R417" t="str">
            <v>United States</v>
          </cell>
          <cell r="S417" t="str">
            <v>United States</v>
          </cell>
          <cell r="Y417" t="str">
            <v>Mid-Level</v>
          </cell>
        </row>
        <row r="418">
          <cell r="B418">
            <v>415</v>
          </cell>
          <cell r="C418">
            <v>2022</v>
          </cell>
          <cell r="F418" t="str">
            <v>Data Engineer</v>
          </cell>
          <cell r="I418">
            <v>54957</v>
          </cell>
          <cell r="N418" t="str">
            <v>Part-Time</v>
          </cell>
          <cell r="O418" t="str">
            <v>Large</v>
          </cell>
          <cell r="Q418" t="str">
            <v>50000 €</v>
          </cell>
          <cell r="R418" t="str">
            <v>Germany</v>
          </cell>
          <cell r="S418" t="str">
            <v>Germany</v>
          </cell>
          <cell r="Y418" t="str">
            <v>Entry-Level</v>
          </cell>
        </row>
        <row r="419">
          <cell r="B419">
            <v>416</v>
          </cell>
          <cell r="C419">
            <v>2022</v>
          </cell>
          <cell r="F419" t="str">
            <v>Data Scientist</v>
          </cell>
          <cell r="I419">
            <v>18442</v>
          </cell>
          <cell r="N419" t="str">
            <v>Full-Time</v>
          </cell>
          <cell r="O419" t="str">
            <v>Contract</v>
          </cell>
          <cell r="Q419" t="str">
            <v>1400000 ₹</v>
          </cell>
          <cell r="R419" t="str">
            <v>India</v>
          </cell>
          <cell r="S419" t="str">
            <v>India</v>
          </cell>
          <cell r="Y419" t="str">
            <v>Senior-Level</v>
          </cell>
        </row>
        <row r="420">
          <cell r="B420">
            <v>417</v>
          </cell>
          <cell r="C420">
            <v>2022</v>
          </cell>
          <cell r="F420" t="str">
            <v>Principal Data Scientist</v>
          </cell>
          <cell r="I420">
            <v>162674</v>
          </cell>
          <cell r="N420" t="str">
            <v>Full-Time</v>
          </cell>
          <cell r="O420" t="str">
            <v>Contract</v>
          </cell>
          <cell r="Q420" t="str">
            <v>148000 €</v>
          </cell>
          <cell r="R420" t="str">
            <v>Germany</v>
          </cell>
          <cell r="S420" t="str">
            <v>Germany</v>
          </cell>
          <cell r="Y420" t="str">
            <v>Entry-Level</v>
          </cell>
        </row>
        <row r="421">
          <cell r="B421">
            <v>418</v>
          </cell>
          <cell r="C421">
            <v>2022</v>
          </cell>
          <cell r="F421" t="str">
            <v>Data Engineer</v>
          </cell>
          <cell r="I421">
            <v>120000</v>
          </cell>
          <cell r="N421" t="str">
            <v>Full-Time</v>
          </cell>
          <cell r="O421" t="str">
            <v>Contract</v>
          </cell>
          <cell r="Q421" t="str">
            <v>120000 $</v>
          </cell>
          <cell r="R421" t="str">
            <v>United States</v>
          </cell>
          <cell r="S421" t="str">
            <v>United States</v>
          </cell>
          <cell r="Y421" t="str">
            <v>Senior-Level</v>
          </cell>
        </row>
        <row r="422">
          <cell r="B422">
            <v>419</v>
          </cell>
          <cell r="C422">
            <v>2022</v>
          </cell>
          <cell r="F422" t="str">
            <v>Research Scientist</v>
          </cell>
          <cell r="I422">
            <v>144000</v>
          </cell>
          <cell r="N422" t="str">
            <v>Full-Time</v>
          </cell>
          <cell r="O422" t="str">
            <v>Large</v>
          </cell>
          <cell r="Q422" t="str">
            <v>144000 $</v>
          </cell>
          <cell r="R422" t="str">
            <v>United States</v>
          </cell>
          <cell r="S422" t="str">
            <v>United States</v>
          </cell>
          <cell r="Y422" t="str">
            <v>Senior-Level</v>
          </cell>
        </row>
        <row r="423">
          <cell r="B423">
            <v>420</v>
          </cell>
          <cell r="C423">
            <v>2022</v>
          </cell>
          <cell r="F423" t="str">
            <v>Data Scientist</v>
          </cell>
          <cell r="I423">
            <v>104890</v>
          </cell>
          <cell r="N423" t="str">
            <v>Full-Time</v>
          </cell>
          <cell r="O423" t="str">
            <v>Contract</v>
          </cell>
          <cell r="Q423" t="str">
            <v>104890 $</v>
          </cell>
          <cell r="R423" t="str">
            <v>United States</v>
          </cell>
          <cell r="S423" t="str">
            <v>United States</v>
          </cell>
          <cell r="Y423" t="str">
            <v>Senior-Level</v>
          </cell>
        </row>
        <row r="424">
          <cell r="B424">
            <v>421</v>
          </cell>
          <cell r="C424">
            <v>2022</v>
          </cell>
          <cell r="F424" t="str">
            <v>Data Scientist</v>
          </cell>
          <cell r="I424">
            <v>140000</v>
          </cell>
          <cell r="N424" t="str">
            <v>Full-Time</v>
          </cell>
          <cell r="O424" t="str">
            <v>Contract</v>
          </cell>
          <cell r="Q424" t="str">
            <v>140000 $</v>
          </cell>
          <cell r="R424" t="str">
            <v>United States</v>
          </cell>
          <cell r="S424" t="str">
            <v>United States</v>
          </cell>
          <cell r="Y424" t="str">
            <v>Senior-Level</v>
          </cell>
        </row>
        <row r="425">
          <cell r="B425">
            <v>422</v>
          </cell>
          <cell r="C425">
            <v>2022</v>
          </cell>
          <cell r="F425" t="str">
            <v>Data Scientist</v>
          </cell>
          <cell r="I425">
            <v>220000</v>
          </cell>
          <cell r="N425" t="str">
            <v>Full-Time</v>
          </cell>
          <cell r="O425" t="str">
            <v>Contract</v>
          </cell>
          <cell r="Q425" t="str">
            <v>220000 $</v>
          </cell>
          <cell r="R425" t="str">
            <v>United States</v>
          </cell>
          <cell r="S425" t="str">
            <v>United States</v>
          </cell>
          <cell r="Y425" t="str">
            <v>Mid-Level</v>
          </cell>
        </row>
        <row r="426">
          <cell r="B426">
            <v>423</v>
          </cell>
          <cell r="C426">
            <v>2022</v>
          </cell>
          <cell r="F426" t="str">
            <v>Data Scientist</v>
          </cell>
          <cell r="I426">
            <v>183228</v>
          </cell>
          <cell r="N426" t="str">
            <v>Full-Time</v>
          </cell>
          <cell r="O426" t="str">
            <v>Contract</v>
          </cell>
          <cell r="Q426" t="str">
            <v>140000 £</v>
          </cell>
          <cell r="R426" t="str">
            <v>United Kingdom</v>
          </cell>
          <cell r="S426" t="str">
            <v>United Kingdom</v>
          </cell>
          <cell r="Y426" t="str">
            <v>Mid-Level</v>
          </cell>
        </row>
        <row r="427">
          <cell r="B427">
            <v>424</v>
          </cell>
          <cell r="C427">
            <v>2022</v>
          </cell>
          <cell r="F427" t="str">
            <v>Data Scientist</v>
          </cell>
          <cell r="I427">
            <v>91614</v>
          </cell>
          <cell r="N427" t="str">
            <v>Full-Time</v>
          </cell>
          <cell r="O427" t="str">
            <v>Contract</v>
          </cell>
          <cell r="Q427" t="str">
            <v>70000 £</v>
          </cell>
          <cell r="R427" t="str">
            <v>United Kingdom</v>
          </cell>
          <cell r="S427" t="str">
            <v>United Kingdom</v>
          </cell>
          <cell r="Y427" t="str">
            <v>Senior-Level</v>
          </cell>
        </row>
        <row r="428">
          <cell r="B428">
            <v>425</v>
          </cell>
          <cell r="C428">
            <v>2022</v>
          </cell>
          <cell r="F428" t="str">
            <v>Data Scientist</v>
          </cell>
          <cell r="I428">
            <v>185100</v>
          </cell>
          <cell r="N428" t="str">
            <v>Full-Time</v>
          </cell>
          <cell r="O428" t="str">
            <v>Contract</v>
          </cell>
          <cell r="Q428" t="str">
            <v>185100 $</v>
          </cell>
          <cell r="R428" t="str">
            <v>United States</v>
          </cell>
          <cell r="S428" t="str">
            <v>United States</v>
          </cell>
          <cell r="Y428" t="str">
            <v>Senior-Level</v>
          </cell>
        </row>
        <row r="429">
          <cell r="B429">
            <v>426</v>
          </cell>
          <cell r="C429">
            <v>2022</v>
          </cell>
          <cell r="F429" t="str">
            <v>Machine Learning Engineer</v>
          </cell>
          <cell r="I429">
            <v>220000</v>
          </cell>
          <cell r="N429" t="str">
            <v>Full-Time</v>
          </cell>
          <cell r="O429" t="str">
            <v>Contract</v>
          </cell>
          <cell r="Q429" t="str">
            <v>220000 $</v>
          </cell>
          <cell r="R429" t="str">
            <v>United States</v>
          </cell>
          <cell r="S429" t="str">
            <v>United States</v>
          </cell>
          <cell r="Y429" t="str">
            <v>Mid-Level</v>
          </cell>
        </row>
        <row r="430">
          <cell r="B430">
            <v>427</v>
          </cell>
          <cell r="C430">
            <v>2022</v>
          </cell>
          <cell r="F430" t="str">
            <v>Data Scientist</v>
          </cell>
          <cell r="I430">
            <v>200000</v>
          </cell>
          <cell r="N430" t="str">
            <v>Full-Time</v>
          </cell>
          <cell r="O430" t="str">
            <v>Contract</v>
          </cell>
          <cell r="Q430" t="str">
            <v>200000 $</v>
          </cell>
          <cell r="R430" t="str">
            <v>United States</v>
          </cell>
          <cell r="S430" t="str">
            <v>United States</v>
          </cell>
          <cell r="Y430" t="str">
            <v>Senior-Level</v>
          </cell>
        </row>
        <row r="431">
          <cell r="B431">
            <v>428</v>
          </cell>
          <cell r="C431">
            <v>2022</v>
          </cell>
          <cell r="F431" t="str">
            <v>Machine Learning Engineer</v>
          </cell>
          <cell r="I431">
            <v>120000</v>
          </cell>
          <cell r="N431" t="str">
            <v>Full-Time</v>
          </cell>
          <cell r="O431" t="str">
            <v>Small</v>
          </cell>
          <cell r="Q431" t="str">
            <v>120000 $</v>
          </cell>
          <cell r="R431" t="str">
            <v>United Arab Emirates</v>
          </cell>
          <cell r="S431" t="str">
            <v>United Arab Emirates</v>
          </cell>
          <cell r="Y431" t="str">
            <v>Senior-Level</v>
          </cell>
        </row>
        <row r="432">
          <cell r="B432">
            <v>429</v>
          </cell>
          <cell r="C432">
            <v>2022</v>
          </cell>
          <cell r="F432" t="str">
            <v>Machine Learning Engineer</v>
          </cell>
          <cell r="I432">
            <v>65000</v>
          </cell>
          <cell r="N432" t="str">
            <v>Full-Time</v>
          </cell>
          <cell r="O432" t="str">
            <v>Small</v>
          </cell>
          <cell r="Q432" t="str">
            <v>65000 $</v>
          </cell>
          <cell r="R432" t="str">
            <v>United Arab Emirates</v>
          </cell>
          <cell r="S432" t="str">
            <v>United Arab Emirates</v>
          </cell>
          <cell r="Y432" t="str">
            <v>Executive</v>
          </cell>
        </row>
        <row r="433">
          <cell r="B433">
            <v>430</v>
          </cell>
          <cell r="C433">
            <v>2022</v>
          </cell>
          <cell r="F433" t="str">
            <v>Data Engineer</v>
          </cell>
          <cell r="I433">
            <v>324000</v>
          </cell>
          <cell r="N433" t="str">
            <v>Full-Time</v>
          </cell>
          <cell r="O433" t="str">
            <v>Contract</v>
          </cell>
          <cell r="Q433" t="str">
            <v>324000 $</v>
          </cell>
          <cell r="R433" t="str">
            <v>United States</v>
          </cell>
          <cell r="S433" t="str">
            <v>United States</v>
          </cell>
          <cell r="Y433" t="str">
            <v>Executive</v>
          </cell>
        </row>
        <row r="434">
          <cell r="B434">
            <v>431</v>
          </cell>
          <cell r="C434">
            <v>2022</v>
          </cell>
          <cell r="F434" t="str">
            <v>Data Engineer</v>
          </cell>
          <cell r="I434">
            <v>216000</v>
          </cell>
          <cell r="N434" t="str">
            <v>Full-Time</v>
          </cell>
          <cell r="O434" t="str">
            <v>Contract</v>
          </cell>
          <cell r="Q434" t="str">
            <v>216000 $</v>
          </cell>
          <cell r="R434" t="str">
            <v>United States</v>
          </cell>
          <cell r="S434" t="str">
            <v>United States</v>
          </cell>
          <cell r="Y434" t="str">
            <v>Senior-Level</v>
          </cell>
        </row>
        <row r="435">
          <cell r="B435">
            <v>432</v>
          </cell>
          <cell r="C435">
            <v>2022</v>
          </cell>
          <cell r="F435" t="str">
            <v>Data Engineer</v>
          </cell>
          <cell r="I435">
            <v>210000</v>
          </cell>
          <cell r="N435" t="str">
            <v>Full-Time</v>
          </cell>
          <cell r="O435" t="str">
            <v>Contract</v>
          </cell>
          <cell r="Q435" t="str">
            <v>210000 $</v>
          </cell>
          <cell r="R435" t="str">
            <v>United States</v>
          </cell>
          <cell r="S435" t="str">
            <v>United States</v>
          </cell>
          <cell r="Y435" t="str">
            <v>Senior-Level</v>
          </cell>
        </row>
        <row r="436">
          <cell r="B436">
            <v>433</v>
          </cell>
          <cell r="C436">
            <v>2022</v>
          </cell>
          <cell r="F436" t="str">
            <v>Data Scientist</v>
          </cell>
          <cell r="I436">
            <v>230000</v>
          </cell>
          <cell r="N436" t="str">
            <v>Full-Time</v>
          </cell>
          <cell r="O436" t="str">
            <v>Contract</v>
          </cell>
          <cell r="Q436" t="str">
            <v>230000 $</v>
          </cell>
          <cell r="R436" t="str">
            <v>United States</v>
          </cell>
          <cell r="S436" t="str">
            <v>United States</v>
          </cell>
          <cell r="Y436" t="str">
            <v>Entry-Level</v>
          </cell>
        </row>
        <row r="437">
          <cell r="B437">
            <v>434</v>
          </cell>
          <cell r="C437">
            <v>2022</v>
          </cell>
          <cell r="F437" t="str">
            <v>Data Scientist</v>
          </cell>
          <cell r="I437">
            <v>100000</v>
          </cell>
          <cell r="N437" t="str">
            <v>Part-Time</v>
          </cell>
          <cell r="O437" t="str">
            <v>Contract</v>
          </cell>
          <cell r="Q437" t="str">
            <v>100000 $</v>
          </cell>
          <cell r="R437" t="str">
            <v>Algeria</v>
          </cell>
          <cell r="S437" t="str">
            <v>Algeria</v>
          </cell>
          <cell r="Y437" t="str">
            <v>Mid-Level</v>
          </cell>
        </row>
        <row r="438">
          <cell r="B438">
            <v>435</v>
          </cell>
          <cell r="C438">
            <v>2022</v>
          </cell>
          <cell r="F438" t="str">
            <v>Data Scientist</v>
          </cell>
          <cell r="I438">
            <v>100000</v>
          </cell>
          <cell r="N438" t="str">
            <v>Freelance</v>
          </cell>
          <cell r="O438" t="str">
            <v>Contract</v>
          </cell>
          <cell r="Q438" t="str">
            <v>100000 $</v>
          </cell>
          <cell r="R438" t="str">
            <v>Canada</v>
          </cell>
          <cell r="S438" t="str">
            <v>United States</v>
          </cell>
          <cell r="Y438" t="str">
            <v>Entry-Level</v>
          </cell>
        </row>
        <row r="439">
          <cell r="B439">
            <v>436</v>
          </cell>
          <cell r="C439">
            <v>2022</v>
          </cell>
          <cell r="F439" t="str">
            <v>Applied Machine Learning Scientist</v>
          </cell>
          <cell r="I439">
            <v>31875</v>
          </cell>
          <cell r="N439" t="str">
            <v>Contract</v>
          </cell>
          <cell r="O439" t="str">
            <v>Contract</v>
          </cell>
          <cell r="Q439" t="str">
            <v>29000 €</v>
          </cell>
          <cell r="R439" t="str">
            <v>Tunisia</v>
          </cell>
          <cell r="S439" t="str">
            <v>Czech Republic</v>
          </cell>
          <cell r="Y439" t="str">
            <v>Senior-Level</v>
          </cell>
        </row>
        <row r="440">
          <cell r="B440">
            <v>437</v>
          </cell>
          <cell r="C440">
            <v>2022</v>
          </cell>
          <cell r="F440" t="str">
            <v>Head of Data</v>
          </cell>
          <cell r="I440">
            <v>200000</v>
          </cell>
          <cell r="N440" t="str">
            <v>Full-Time</v>
          </cell>
          <cell r="O440" t="str">
            <v>Contract</v>
          </cell>
          <cell r="Q440" t="str">
            <v>200000 $</v>
          </cell>
          <cell r="R440" t="str">
            <v>Malaysia</v>
          </cell>
          <cell r="S440" t="str">
            <v>United States</v>
          </cell>
          <cell r="Y440" t="str">
            <v>Mid-Level</v>
          </cell>
        </row>
        <row r="441">
          <cell r="B441">
            <v>438</v>
          </cell>
          <cell r="C441">
            <v>2022</v>
          </cell>
          <cell r="F441" t="str">
            <v>Principal Data Analyst</v>
          </cell>
          <cell r="I441">
            <v>75000</v>
          </cell>
          <cell r="N441" t="str">
            <v>Full-Time</v>
          </cell>
          <cell r="O441" t="str">
            <v>Small</v>
          </cell>
          <cell r="Q441" t="str">
            <v>75000 $</v>
          </cell>
          <cell r="R441" t="str">
            <v>Canada</v>
          </cell>
          <cell r="S441" t="str">
            <v>Canada</v>
          </cell>
          <cell r="Y441" t="str">
            <v>Mid-Level</v>
          </cell>
        </row>
        <row r="442">
          <cell r="B442">
            <v>439</v>
          </cell>
          <cell r="C442">
            <v>2022</v>
          </cell>
          <cell r="F442" t="str">
            <v>Data Scientist</v>
          </cell>
          <cell r="I442">
            <v>35590</v>
          </cell>
          <cell r="N442" t="str">
            <v>Full-Time</v>
          </cell>
          <cell r="O442" t="str">
            <v>Large</v>
          </cell>
          <cell r="Q442" t="str">
            <v>150000 zł</v>
          </cell>
          <cell r="R442" t="str">
            <v>Poland</v>
          </cell>
          <cell r="S442" t="str">
            <v>Poland</v>
          </cell>
          <cell r="Y442" t="str">
            <v>Senior-Level</v>
          </cell>
        </row>
        <row r="443">
          <cell r="B443">
            <v>440</v>
          </cell>
          <cell r="C443">
            <v>2022</v>
          </cell>
          <cell r="F443" t="str">
            <v>Data Scientist</v>
          </cell>
          <cell r="I443">
            <v>100000</v>
          </cell>
          <cell r="N443" t="str">
            <v>Full-Time</v>
          </cell>
          <cell r="O443" t="str">
            <v>Contract</v>
          </cell>
          <cell r="Q443" t="str">
            <v>100000 $</v>
          </cell>
          <cell r="R443" t="str">
            <v>Brazil</v>
          </cell>
          <cell r="S443" t="str">
            <v>United States</v>
          </cell>
          <cell r="Y443" t="str">
            <v>Mid-Level</v>
          </cell>
        </row>
        <row r="444">
          <cell r="B444">
            <v>441</v>
          </cell>
          <cell r="C444">
            <v>2022</v>
          </cell>
          <cell r="F444" t="str">
            <v>Machine Learning Scientist</v>
          </cell>
          <cell r="I444">
            <v>153000</v>
          </cell>
          <cell r="N444" t="str">
            <v>Full-Time</v>
          </cell>
          <cell r="O444" t="str">
            <v>Contract</v>
          </cell>
          <cell r="Q444" t="str">
            <v>153000 $</v>
          </cell>
          <cell r="R444" t="str">
            <v>United States</v>
          </cell>
          <cell r="S444" t="str">
            <v>United States</v>
          </cell>
          <cell r="Y444" t="str">
            <v>Entry-Level</v>
          </cell>
        </row>
        <row r="445">
          <cell r="B445">
            <v>442</v>
          </cell>
          <cell r="C445">
            <v>2022</v>
          </cell>
          <cell r="F445" t="str">
            <v>Data Engineer</v>
          </cell>
          <cell r="I445">
            <v>58035</v>
          </cell>
          <cell r="N445" t="str">
            <v>Full-Time</v>
          </cell>
          <cell r="O445" t="str">
            <v>Contract</v>
          </cell>
          <cell r="Q445" t="str">
            <v>52800 €</v>
          </cell>
          <cell r="R445" t="str">
            <v>Pakistan</v>
          </cell>
          <cell r="S445" t="str">
            <v>Germany</v>
          </cell>
          <cell r="Y445" t="str">
            <v>Senior-Level</v>
          </cell>
        </row>
        <row r="446">
          <cell r="B446">
            <v>443</v>
          </cell>
          <cell r="C446">
            <v>2022</v>
          </cell>
          <cell r="F446" t="str">
            <v>Research Scientist</v>
          </cell>
          <cell r="I446">
            <v>93427</v>
          </cell>
          <cell r="N446" t="str">
            <v>Full-Time</v>
          </cell>
          <cell r="O446" t="str">
            <v>Large</v>
          </cell>
          <cell r="Q446" t="str">
            <v>85000 €</v>
          </cell>
          <cell r="R446" t="str">
            <v>France</v>
          </cell>
          <cell r="S446" t="str">
            <v>France</v>
          </cell>
          <cell r="Y446" t="str">
            <v>Entry-Level</v>
          </cell>
        </row>
        <row r="447">
          <cell r="B447">
            <v>444</v>
          </cell>
          <cell r="C447">
            <v>2022</v>
          </cell>
          <cell r="F447" t="str">
            <v>Data Scientist</v>
          </cell>
          <cell r="I447">
            <v>52396</v>
          </cell>
          <cell r="N447" t="str">
            <v>Full-Time</v>
          </cell>
          <cell r="O447" t="str">
            <v>Large</v>
          </cell>
          <cell r="Q447" t="str">
            <v>66500 C$</v>
          </cell>
          <cell r="R447" t="str">
            <v>Canada</v>
          </cell>
          <cell r="S447" t="str">
            <v>Canada</v>
          </cell>
          <cell r="Y447" t="str">
            <v>Senior-Level</v>
          </cell>
        </row>
        <row r="448">
          <cell r="B448">
            <v>445</v>
          </cell>
          <cell r="C448">
            <v>2022</v>
          </cell>
          <cell r="F448" t="str">
            <v>Machine Learning Engineer</v>
          </cell>
          <cell r="I448">
            <v>62651</v>
          </cell>
          <cell r="N448" t="str">
            <v>Full-Time</v>
          </cell>
          <cell r="O448" t="str">
            <v>Large</v>
          </cell>
          <cell r="Q448" t="str">
            <v>57000 €</v>
          </cell>
          <cell r="R448" t="str">
            <v>Netherlands</v>
          </cell>
          <cell r="S448" t="str">
            <v>Netherlands</v>
          </cell>
          <cell r="Y448" t="str">
            <v>Mid-Level</v>
          </cell>
        </row>
        <row r="449">
          <cell r="B449">
            <v>446</v>
          </cell>
          <cell r="C449">
            <v>2022</v>
          </cell>
          <cell r="F449" t="str">
            <v>Head of Data</v>
          </cell>
          <cell r="I449">
            <v>32974</v>
          </cell>
          <cell r="N449" t="str">
            <v>Full-Time</v>
          </cell>
          <cell r="O449" t="str">
            <v>Small</v>
          </cell>
          <cell r="Q449" t="str">
            <v>30000 €</v>
          </cell>
          <cell r="R449" t="str">
            <v>Estonia</v>
          </cell>
          <cell r="S449" t="str">
            <v>Estonia</v>
          </cell>
          <cell r="Y449" t="str">
            <v>Entry-Level</v>
          </cell>
        </row>
        <row r="450">
          <cell r="B450">
            <v>447</v>
          </cell>
          <cell r="C450">
            <v>2022</v>
          </cell>
          <cell r="F450" t="str">
            <v>Data Scientist</v>
          </cell>
          <cell r="I450">
            <v>40000</v>
          </cell>
          <cell r="N450" t="str">
            <v>Full-Time</v>
          </cell>
          <cell r="O450" t="str">
            <v>Large</v>
          </cell>
          <cell r="Q450" t="str">
            <v>40000 $</v>
          </cell>
          <cell r="R450" t="str">
            <v>Japan</v>
          </cell>
          <cell r="S450" t="str">
            <v>Malaysia</v>
          </cell>
          <cell r="Y450" t="str">
            <v>Mid-Level</v>
          </cell>
        </row>
        <row r="451">
          <cell r="B451">
            <v>448</v>
          </cell>
          <cell r="C451">
            <v>2022</v>
          </cell>
          <cell r="F451" t="str">
            <v>Machine Learning Engineer</v>
          </cell>
          <cell r="I451">
            <v>87425</v>
          </cell>
          <cell r="N451" t="str">
            <v>Full-Time</v>
          </cell>
          <cell r="O451" t="str">
            <v>Large</v>
          </cell>
          <cell r="Q451" t="str">
            <v>121000 A$</v>
          </cell>
          <cell r="R451" t="str">
            <v>Australia</v>
          </cell>
          <cell r="S451" t="str">
            <v>Australia</v>
          </cell>
          <cell r="Y451" t="str">
            <v>Entry-Level</v>
          </cell>
        </row>
        <row r="452">
          <cell r="B452">
            <v>449</v>
          </cell>
          <cell r="C452">
            <v>2022</v>
          </cell>
          <cell r="F452" t="str">
            <v>Data Scientist</v>
          </cell>
          <cell r="I452">
            <v>86703</v>
          </cell>
          <cell r="N452" t="str">
            <v>Full-Time</v>
          </cell>
          <cell r="O452" t="str">
            <v>Contract</v>
          </cell>
          <cell r="Q452" t="str">
            <v>120000 A$</v>
          </cell>
          <cell r="R452" t="str">
            <v>Australia</v>
          </cell>
          <cell r="S452" t="str">
            <v>Australia</v>
          </cell>
          <cell r="Y452" t="str">
            <v>Mid-Level</v>
          </cell>
        </row>
        <row r="453">
          <cell r="B453">
            <v>450</v>
          </cell>
          <cell r="C453">
            <v>2022</v>
          </cell>
          <cell r="F453" t="str">
            <v>Applied Machine Learning Scientist</v>
          </cell>
          <cell r="I453">
            <v>75000</v>
          </cell>
          <cell r="N453" t="str">
            <v>Full-Time</v>
          </cell>
          <cell r="O453" t="str">
            <v>Large</v>
          </cell>
          <cell r="Q453" t="str">
            <v>75000 $</v>
          </cell>
          <cell r="R453" t="str">
            <v>Bolivia</v>
          </cell>
          <cell r="S453" t="str">
            <v>United States</v>
          </cell>
          <cell r="Y453" t="str">
            <v>Mid-Level</v>
          </cell>
        </row>
        <row r="454">
          <cell r="B454">
            <v>451</v>
          </cell>
          <cell r="C454">
            <v>2022</v>
          </cell>
          <cell r="F454" t="str">
            <v>Research Scientist</v>
          </cell>
          <cell r="I454">
            <v>64849</v>
          </cell>
          <cell r="N454" t="str">
            <v>Full-Time</v>
          </cell>
          <cell r="O454" t="str">
            <v>Large</v>
          </cell>
          <cell r="Q454" t="str">
            <v>59000 €</v>
          </cell>
          <cell r="R454" t="str">
            <v>Austria</v>
          </cell>
          <cell r="S454" t="str">
            <v>Austria</v>
          </cell>
          <cell r="Y454" t="str">
            <v>Entry-Level</v>
          </cell>
        </row>
        <row r="455">
          <cell r="B455">
            <v>452</v>
          </cell>
          <cell r="C455">
            <v>2022</v>
          </cell>
          <cell r="F455" t="str">
            <v>Research Scientist</v>
          </cell>
          <cell r="I455">
            <v>120000</v>
          </cell>
          <cell r="N455" t="str">
            <v>Full-Time</v>
          </cell>
          <cell r="O455" t="str">
            <v>Large</v>
          </cell>
          <cell r="Q455" t="str">
            <v>120000 $</v>
          </cell>
          <cell r="R455" t="str">
            <v>United States</v>
          </cell>
          <cell r="S455" t="str">
            <v>United States</v>
          </cell>
          <cell r="Y455" t="str">
            <v>Mid-Level</v>
          </cell>
        </row>
        <row r="456">
          <cell r="B456">
            <v>453</v>
          </cell>
          <cell r="C456">
            <v>2022</v>
          </cell>
          <cell r="F456" t="str">
            <v>Applied Data Scientist</v>
          </cell>
          <cell r="I456">
            <v>157000</v>
          </cell>
          <cell r="N456" t="str">
            <v>Full-Time</v>
          </cell>
          <cell r="O456" t="str">
            <v>Large</v>
          </cell>
          <cell r="Q456" t="str">
            <v>157000 $</v>
          </cell>
          <cell r="R456" t="str">
            <v>United States</v>
          </cell>
          <cell r="S456" t="str">
            <v>United States</v>
          </cell>
          <cell r="Y456" t="str">
            <v>Entry-Level</v>
          </cell>
        </row>
        <row r="457">
          <cell r="B457">
            <v>454</v>
          </cell>
          <cell r="C457">
            <v>2022</v>
          </cell>
          <cell r="F457" t="str">
            <v>Computer Vision Software Engineer</v>
          </cell>
          <cell r="I457">
            <v>150000</v>
          </cell>
          <cell r="N457" t="str">
            <v>Full-Time</v>
          </cell>
          <cell r="O457" t="str">
            <v>Small</v>
          </cell>
          <cell r="Q457" t="str">
            <v>150000 $</v>
          </cell>
          <cell r="R457" t="str">
            <v>Australia</v>
          </cell>
          <cell r="S457" t="str">
            <v>Australia</v>
          </cell>
          <cell r="Y457" t="str">
            <v>Mid-Level</v>
          </cell>
        </row>
        <row r="458">
          <cell r="B458">
            <v>455</v>
          </cell>
          <cell r="C458">
            <v>2022</v>
          </cell>
          <cell r="F458" t="str">
            <v>Business Data Analyst</v>
          </cell>
          <cell r="I458">
            <v>70912</v>
          </cell>
          <cell r="N458" t="str">
            <v>Full-Time</v>
          </cell>
          <cell r="O458" t="str">
            <v>Large</v>
          </cell>
          <cell r="Q458" t="str">
            <v>90000 C$</v>
          </cell>
          <cell r="R458" t="str">
            <v>Canada</v>
          </cell>
          <cell r="S458" t="str">
            <v>Canada</v>
          </cell>
          <cell r="Y458" t="str">
            <v>Entry-Level</v>
          </cell>
        </row>
        <row r="459">
          <cell r="B459">
            <v>456</v>
          </cell>
          <cell r="C459">
            <v>2022</v>
          </cell>
          <cell r="F459" t="str">
            <v>Data Engineer</v>
          </cell>
          <cell r="I459">
            <v>65000</v>
          </cell>
          <cell r="N459" t="str">
            <v>Full-Time</v>
          </cell>
          <cell r="O459" t="str">
            <v>Small</v>
          </cell>
          <cell r="Q459" t="str">
            <v>65000 $</v>
          </cell>
          <cell r="R459" t="str">
            <v>United States</v>
          </cell>
          <cell r="S459" t="str">
            <v>United States</v>
          </cell>
          <cell r="Y459" t="str">
            <v>Senior-Level</v>
          </cell>
        </row>
        <row r="460">
          <cell r="B460">
            <v>457</v>
          </cell>
          <cell r="C460">
            <v>2022</v>
          </cell>
          <cell r="F460" t="str">
            <v>Machine Learning Engineer</v>
          </cell>
          <cell r="I460">
            <v>71444</v>
          </cell>
          <cell r="N460" t="str">
            <v>Full-Time</v>
          </cell>
          <cell r="O460" t="str">
            <v>Small</v>
          </cell>
          <cell r="Q460" t="str">
            <v>65000 €</v>
          </cell>
          <cell r="R460" t="str">
            <v>Ireland</v>
          </cell>
          <cell r="S460" t="str">
            <v>Ireland</v>
          </cell>
          <cell r="Y460" t="str">
            <v>Entry-Level</v>
          </cell>
        </row>
        <row r="461">
          <cell r="B461">
            <v>458</v>
          </cell>
          <cell r="C461">
            <v>2022</v>
          </cell>
          <cell r="F461" t="str">
            <v>Data Analytics Engineer</v>
          </cell>
          <cell r="I461">
            <v>20000</v>
          </cell>
          <cell r="N461" t="str">
            <v>Full-Time</v>
          </cell>
          <cell r="O461" t="str">
            <v>Contract</v>
          </cell>
          <cell r="Q461" t="str">
            <v>20000 $</v>
          </cell>
          <cell r="R461" t="str">
            <v>Pakistan</v>
          </cell>
          <cell r="S461" t="str">
            <v>Pakistan</v>
          </cell>
          <cell r="Y461" t="str">
            <v>Mid-Level</v>
          </cell>
        </row>
        <row r="462">
          <cell r="B462">
            <v>459</v>
          </cell>
          <cell r="C462">
            <v>2022</v>
          </cell>
          <cell r="F462" t="str">
            <v>Data Scientist</v>
          </cell>
          <cell r="I462">
            <v>48000</v>
          </cell>
          <cell r="N462" t="str">
            <v>Full-Time</v>
          </cell>
          <cell r="O462" t="str">
            <v>Small</v>
          </cell>
          <cell r="Q462" t="str">
            <v>48000 $</v>
          </cell>
          <cell r="R462" t="str">
            <v>Russia</v>
          </cell>
          <cell r="S462" t="str">
            <v>United States</v>
          </cell>
          <cell r="Y462" t="str">
            <v>Senior-Level</v>
          </cell>
        </row>
        <row r="463">
          <cell r="B463">
            <v>460</v>
          </cell>
          <cell r="C463">
            <v>2022</v>
          </cell>
          <cell r="F463" t="str">
            <v>Data Science Manager</v>
          </cell>
          <cell r="I463">
            <v>152500</v>
          </cell>
          <cell r="N463" t="str">
            <v>Full-Time</v>
          </cell>
          <cell r="O463" t="str">
            <v>Contract</v>
          </cell>
          <cell r="Q463" t="str">
            <v>152500 $</v>
          </cell>
          <cell r="R463" t="str">
            <v>United States</v>
          </cell>
          <cell r="S463" t="str">
            <v>United States</v>
          </cell>
          <cell r="Y463" t="str">
            <v>Mid-Level</v>
          </cell>
        </row>
        <row r="464">
          <cell r="B464">
            <v>461</v>
          </cell>
          <cell r="C464">
            <v>2022</v>
          </cell>
          <cell r="F464" t="str">
            <v>Data Engineer</v>
          </cell>
          <cell r="I464">
            <v>68147</v>
          </cell>
          <cell r="N464" t="str">
            <v>Full-Time</v>
          </cell>
          <cell r="O464" t="str">
            <v>Contract</v>
          </cell>
          <cell r="Q464" t="str">
            <v>62000 €</v>
          </cell>
          <cell r="R464" t="str">
            <v>France</v>
          </cell>
          <cell r="S464" t="str">
            <v>France</v>
          </cell>
          <cell r="Y464" t="str">
            <v>Mid-Level</v>
          </cell>
        </row>
        <row r="465">
          <cell r="B465">
            <v>462</v>
          </cell>
          <cell r="C465">
            <v>2022</v>
          </cell>
          <cell r="F465" t="str">
            <v>Data Scientist</v>
          </cell>
          <cell r="I465">
            <v>122346</v>
          </cell>
          <cell r="N465" t="str">
            <v>Full-Time</v>
          </cell>
          <cell r="O465" t="str">
            <v>Large</v>
          </cell>
          <cell r="Q465" t="str">
            <v>115000 CHF</v>
          </cell>
          <cell r="R465" t="str">
            <v>Switzerland</v>
          </cell>
          <cell r="S465" t="str">
            <v>Switzerland</v>
          </cell>
          <cell r="Y465" t="str">
            <v>Senior-Level</v>
          </cell>
        </row>
        <row r="466">
          <cell r="B466">
            <v>463</v>
          </cell>
          <cell r="C466">
            <v>2022</v>
          </cell>
          <cell r="F466" t="str">
            <v>Applied Data Scientist</v>
          </cell>
          <cell r="I466">
            <v>380000</v>
          </cell>
          <cell r="N466" t="str">
            <v>Full-Time</v>
          </cell>
          <cell r="O466" t="str">
            <v>Large</v>
          </cell>
          <cell r="Q466" t="str">
            <v>380000 $</v>
          </cell>
          <cell r="R466" t="str">
            <v>United States</v>
          </cell>
          <cell r="S466" t="str">
            <v>United States</v>
          </cell>
          <cell r="Y466" t="str">
            <v>Mid-Level</v>
          </cell>
        </row>
        <row r="467">
          <cell r="B467">
            <v>464</v>
          </cell>
          <cell r="C467">
            <v>2022</v>
          </cell>
          <cell r="F467" t="str">
            <v>Data Scientist</v>
          </cell>
          <cell r="I467">
            <v>69336</v>
          </cell>
          <cell r="N467" t="str">
            <v>Full-Time</v>
          </cell>
          <cell r="O467" t="str">
            <v>Contract</v>
          </cell>
          <cell r="Q467" t="str">
            <v>88000 C$</v>
          </cell>
          <cell r="R467" t="str">
            <v>Canada</v>
          </cell>
          <cell r="S467" t="str">
            <v>Canada</v>
          </cell>
          <cell r="Y467" t="str">
            <v>Entry-Level</v>
          </cell>
        </row>
        <row r="468">
          <cell r="B468">
            <v>465</v>
          </cell>
          <cell r="C468">
            <v>2022</v>
          </cell>
          <cell r="F468" t="str">
            <v>Computer Vision Engineer</v>
          </cell>
          <cell r="I468">
            <v>10000</v>
          </cell>
          <cell r="N468" t="str">
            <v>Full-Time</v>
          </cell>
          <cell r="O468" t="str">
            <v>Contract</v>
          </cell>
          <cell r="Q468" t="str">
            <v>10000 $</v>
          </cell>
          <cell r="R468" t="str">
            <v>Portugal</v>
          </cell>
          <cell r="S468" t="str">
            <v>Luxembourg</v>
          </cell>
          <cell r="Y468" t="str">
            <v>Mid-Level</v>
          </cell>
        </row>
        <row r="469">
          <cell r="B469">
            <v>466</v>
          </cell>
          <cell r="C469">
            <v>2022</v>
          </cell>
          <cell r="F469" t="str">
            <v>Data Analyst</v>
          </cell>
          <cell r="I469">
            <v>20000</v>
          </cell>
          <cell r="N469" t="str">
            <v>Full-Time</v>
          </cell>
          <cell r="O469" t="str">
            <v>Small</v>
          </cell>
          <cell r="Q469" t="str">
            <v>20000 $</v>
          </cell>
          <cell r="R469" t="str">
            <v>Greece</v>
          </cell>
          <cell r="S469" t="str">
            <v>Greece</v>
          </cell>
          <cell r="Y469" t="str">
            <v>Senior-Level</v>
          </cell>
        </row>
        <row r="470">
          <cell r="B470">
            <v>467</v>
          </cell>
          <cell r="C470">
            <v>2022</v>
          </cell>
          <cell r="F470" t="str">
            <v>Data Analytics Lead</v>
          </cell>
          <cell r="I470">
            <v>405000</v>
          </cell>
          <cell r="N470" t="str">
            <v>Full-Time</v>
          </cell>
          <cell r="O470" t="str">
            <v>Large</v>
          </cell>
          <cell r="Q470" t="str">
            <v>405000 $</v>
          </cell>
          <cell r="R470" t="str">
            <v>United States</v>
          </cell>
          <cell r="S470" t="str">
            <v>United States</v>
          </cell>
          <cell r="Y470" t="str">
            <v>Senior-Level</v>
          </cell>
        </row>
        <row r="471">
          <cell r="B471">
            <v>468</v>
          </cell>
          <cell r="C471">
            <v>2022</v>
          </cell>
          <cell r="F471" t="str">
            <v>Applied Data Scientist</v>
          </cell>
          <cell r="I471">
            <v>177000</v>
          </cell>
          <cell r="N471" t="str">
            <v>Full-Time</v>
          </cell>
          <cell r="O471" t="str">
            <v>Large</v>
          </cell>
          <cell r="Q471" t="str">
            <v>177000 $</v>
          </cell>
          <cell r="R471" t="str">
            <v>United States</v>
          </cell>
          <cell r="S471" t="str">
            <v>United States</v>
          </cell>
          <cell r="Y471" t="str">
            <v>Mid-Level</v>
          </cell>
        </row>
        <row r="472">
          <cell r="B472">
            <v>469</v>
          </cell>
          <cell r="C472">
            <v>2022</v>
          </cell>
          <cell r="F472" t="str">
            <v>Data Scientist</v>
          </cell>
          <cell r="I472">
            <v>78000</v>
          </cell>
          <cell r="N472" t="str">
            <v>Full-Time</v>
          </cell>
          <cell r="O472" t="str">
            <v>Contract</v>
          </cell>
          <cell r="Q472" t="str">
            <v>78000 $</v>
          </cell>
          <cell r="R472" t="str">
            <v>United States</v>
          </cell>
          <cell r="S472" t="str">
            <v>United States</v>
          </cell>
          <cell r="Y472" t="str">
            <v>Senior-Level</v>
          </cell>
        </row>
        <row r="473">
          <cell r="B473">
            <v>470</v>
          </cell>
          <cell r="C473">
            <v>2022</v>
          </cell>
          <cell r="F473" t="str">
            <v>Data Analyst</v>
          </cell>
          <cell r="I473">
            <v>100000</v>
          </cell>
          <cell r="N473" t="str">
            <v>Full-Time</v>
          </cell>
          <cell r="O473" t="str">
            <v>Contract</v>
          </cell>
          <cell r="Q473" t="str">
            <v>100000 $</v>
          </cell>
          <cell r="R473" t="str">
            <v>United States</v>
          </cell>
          <cell r="S473" t="str">
            <v>United States</v>
          </cell>
          <cell r="Y473" t="str">
            <v>Mid-Level</v>
          </cell>
        </row>
        <row r="474">
          <cell r="B474">
            <v>471</v>
          </cell>
          <cell r="C474">
            <v>2022</v>
          </cell>
          <cell r="F474" t="str">
            <v>Data Analyst</v>
          </cell>
          <cell r="I474">
            <v>85000</v>
          </cell>
          <cell r="N474" t="str">
            <v>Full-Time</v>
          </cell>
          <cell r="O474" t="str">
            <v>Contract</v>
          </cell>
          <cell r="Q474" t="str">
            <v>85000 $</v>
          </cell>
          <cell r="R474" t="str">
            <v>Canada</v>
          </cell>
          <cell r="S474" t="str">
            <v>Canada</v>
          </cell>
          <cell r="Y474" t="str">
            <v>Mid-Level</v>
          </cell>
        </row>
        <row r="475">
          <cell r="B475">
            <v>472</v>
          </cell>
          <cell r="C475">
            <v>2022</v>
          </cell>
          <cell r="F475" t="str">
            <v>Data Analyst</v>
          </cell>
          <cell r="I475">
            <v>75000</v>
          </cell>
          <cell r="N475" t="str">
            <v>Full-Time</v>
          </cell>
          <cell r="O475" t="str">
            <v>Contract</v>
          </cell>
          <cell r="Q475" t="str">
            <v>75000 $</v>
          </cell>
          <cell r="R475" t="str">
            <v>Canada</v>
          </cell>
          <cell r="S475" t="str">
            <v>Canada</v>
          </cell>
          <cell r="Y475" t="str">
            <v>Senior-Level</v>
          </cell>
        </row>
        <row r="476">
          <cell r="B476">
            <v>473</v>
          </cell>
          <cell r="C476">
            <v>2022</v>
          </cell>
          <cell r="F476" t="str">
            <v>Machine Learning Engineer</v>
          </cell>
          <cell r="I476">
            <v>214000</v>
          </cell>
          <cell r="N476" t="str">
            <v>Full-Time</v>
          </cell>
          <cell r="O476" t="str">
            <v>Contract</v>
          </cell>
          <cell r="Q476" t="str">
            <v>214000 $</v>
          </cell>
          <cell r="R476" t="str">
            <v>United States</v>
          </cell>
          <cell r="S476" t="str">
            <v>United States</v>
          </cell>
          <cell r="Y476" t="str">
            <v>Senior-Level</v>
          </cell>
        </row>
        <row r="477">
          <cell r="B477">
            <v>474</v>
          </cell>
          <cell r="C477">
            <v>2022</v>
          </cell>
          <cell r="F477" t="str">
            <v>Machine Learning Engineer</v>
          </cell>
          <cell r="I477">
            <v>192600</v>
          </cell>
          <cell r="N477" t="str">
            <v>Full-Time</v>
          </cell>
          <cell r="O477" t="str">
            <v>Contract</v>
          </cell>
          <cell r="Q477" t="str">
            <v>192600 $</v>
          </cell>
          <cell r="R477" t="str">
            <v>United States</v>
          </cell>
          <cell r="S477" t="str">
            <v>United States</v>
          </cell>
          <cell r="Y477" t="str">
            <v>Senior-Level</v>
          </cell>
        </row>
        <row r="478">
          <cell r="B478">
            <v>475</v>
          </cell>
          <cell r="C478">
            <v>2022</v>
          </cell>
          <cell r="F478" t="str">
            <v>Data Architect</v>
          </cell>
          <cell r="I478">
            <v>266400</v>
          </cell>
          <cell r="N478" t="str">
            <v>Full-Time</v>
          </cell>
          <cell r="O478" t="str">
            <v>Contract</v>
          </cell>
          <cell r="Q478" t="str">
            <v>266400 $</v>
          </cell>
          <cell r="R478" t="str">
            <v>United States</v>
          </cell>
          <cell r="S478" t="str">
            <v>United States</v>
          </cell>
          <cell r="Y478" t="str">
            <v>Senior-Level</v>
          </cell>
        </row>
        <row r="479">
          <cell r="B479">
            <v>476</v>
          </cell>
          <cell r="C479">
            <v>2022</v>
          </cell>
          <cell r="F479" t="str">
            <v>Data Architect</v>
          </cell>
          <cell r="I479">
            <v>213120</v>
          </cell>
          <cell r="N479" t="str">
            <v>Full-Time</v>
          </cell>
          <cell r="O479" t="str">
            <v>Contract</v>
          </cell>
          <cell r="Q479" t="str">
            <v>213120 $</v>
          </cell>
          <cell r="R479" t="str">
            <v>United States</v>
          </cell>
          <cell r="S479" t="str">
            <v>United States</v>
          </cell>
          <cell r="Y479" t="str">
            <v>Mid-Level</v>
          </cell>
        </row>
        <row r="480">
          <cell r="B480">
            <v>477</v>
          </cell>
          <cell r="C480">
            <v>2022</v>
          </cell>
          <cell r="F480" t="str">
            <v>Data Scientist</v>
          </cell>
          <cell r="I480">
            <v>141300</v>
          </cell>
          <cell r="N480" t="str">
            <v>Full-Time</v>
          </cell>
          <cell r="O480" t="str">
            <v>Contract</v>
          </cell>
          <cell r="Q480" t="str">
            <v>141300 $</v>
          </cell>
          <cell r="R480" t="str">
            <v>United States</v>
          </cell>
          <cell r="S480" t="str">
            <v>United States</v>
          </cell>
          <cell r="Y480" t="str">
            <v>Mid-Level</v>
          </cell>
        </row>
        <row r="481">
          <cell r="B481">
            <v>478</v>
          </cell>
          <cell r="C481">
            <v>2022</v>
          </cell>
          <cell r="F481" t="str">
            <v>Data Scientist</v>
          </cell>
          <cell r="I481">
            <v>102100</v>
          </cell>
          <cell r="N481" t="str">
            <v>Full-Time</v>
          </cell>
          <cell r="O481" t="str">
            <v>Contract</v>
          </cell>
          <cell r="Q481" t="str">
            <v>102100 $</v>
          </cell>
          <cell r="R481" t="str">
            <v>United States</v>
          </cell>
          <cell r="S481" t="str">
            <v>United States</v>
          </cell>
          <cell r="Y481" t="str">
            <v>Mid-Level</v>
          </cell>
        </row>
        <row r="482">
          <cell r="B482">
            <v>479</v>
          </cell>
          <cell r="C482">
            <v>2022</v>
          </cell>
          <cell r="F482" t="str">
            <v>Data Engineer</v>
          </cell>
          <cell r="I482">
            <v>206699</v>
          </cell>
          <cell r="N482" t="str">
            <v>Full-Time</v>
          </cell>
          <cell r="O482" t="str">
            <v>Contract</v>
          </cell>
          <cell r="Q482" t="str">
            <v>206699 $</v>
          </cell>
          <cell r="R482" t="str">
            <v>United States</v>
          </cell>
          <cell r="S482" t="str">
            <v>United States</v>
          </cell>
          <cell r="Y482" t="str">
            <v>Mid-Level</v>
          </cell>
        </row>
        <row r="483">
          <cell r="B483">
            <v>480</v>
          </cell>
          <cell r="C483">
            <v>2022</v>
          </cell>
          <cell r="F483" t="str">
            <v>Data Engineer</v>
          </cell>
          <cell r="I483">
            <v>99100</v>
          </cell>
          <cell r="N483" t="str">
            <v>Full-Time</v>
          </cell>
          <cell r="O483" t="str">
            <v>Contract</v>
          </cell>
          <cell r="Q483" t="str">
            <v>99100 $</v>
          </cell>
          <cell r="R483" t="str">
            <v>United States</v>
          </cell>
          <cell r="S483" t="str">
            <v>United States</v>
          </cell>
          <cell r="Y483" t="str">
            <v>Senior-Level</v>
          </cell>
        </row>
        <row r="484">
          <cell r="B484">
            <v>481</v>
          </cell>
          <cell r="C484">
            <v>2022</v>
          </cell>
          <cell r="F484" t="str">
            <v>Data Engineer</v>
          </cell>
          <cell r="I484">
            <v>130000</v>
          </cell>
          <cell r="N484" t="str">
            <v>Full-Time</v>
          </cell>
          <cell r="O484" t="str">
            <v>Contract</v>
          </cell>
          <cell r="Q484" t="str">
            <v>130000 $</v>
          </cell>
          <cell r="R484" t="str">
            <v>United States</v>
          </cell>
          <cell r="S484" t="str">
            <v>United States</v>
          </cell>
          <cell r="Y484" t="str">
            <v>Senior-Level</v>
          </cell>
        </row>
        <row r="485">
          <cell r="B485">
            <v>482</v>
          </cell>
          <cell r="C485">
            <v>2022</v>
          </cell>
          <cell r="F485" t="str">
            <v>Data Engineer</v>
          </cell>
          <cell r="I485">
            <v>110500</v>
          </cell>
          <cell r="N485" t="str">
            <v>Full-Time</v>
          </cell>
          <cell r="O485" t="str">
            <v>Contract</v>
          </cell>
          <cell r="Q485" t="str">
            <v>110500 $</v>
          </cell>
          <cell r="R485" t="str">
            <v>United States</v>
          </cell>
          <cell r="S485" t="str">
            <v>United States</v>
          </cell>
          <cell r="Y485" t="str">
            <v>Senior-Level</v>
          </cell>
        </row>
        <row r="486">
          <cell r="B486">
            <v>483</v>
          </cell>
          <cell r="C486">
            <v>2022</v>
          </cell>
          <cell r="F486" t="str">
            <v>Data Analyst</v>
          </cell>
          <cell r="I486">
            <v>99050</v>
          </cell>
          <cell r="N486" t="str">
            <v>Full-Time</v>
          </cell>
          <cell r="O486" t="str">
            <v>Contract</v>
          </cell>
          <cell r="Q486" t="str">
            <v>99050 $</v>
          </cell>
          <cell r="R486" t="str">
            <v>United States</v>
          </cell>
          <cell r="S486" t="str">
            <v>United States</v>
          </cell>
          <cell r="Y486" t="str">
            <v>Senior-Level</v>
          </cell>
        </row>
        <row r="487">
          <cell r="B487">
            <v>484</v>
          </cell>
          <cell r="C487">
            <v>2022</v>
          </cell>
          <cell r="F487" t="str">
            <v>Data Scientist</v>
          </cell>
          <cell r="I487">
            <v>205300</v>
          </cell>
          <cell r="N487" t="str">
            <v>Full-Time</v>
          </cell>
          <cell r="O487" t="str">
            <v>Large</v>
          </cell>
          <cell r="Q487" t="str">
            <v>205300 $</v>
          </cell>
          <cell r="R487" t="str">
            <v>United States</v>
          </cell>
          <cell r="S487" t="str">
            <v>United States</v>
          </cell>
          <cell r="Y487" t="str">
            <v>Senior-Level</v>
          </cell>
        </row>
        <row r="488">
          <cell r="B488">
            <v>485</v>
          </cell>
          <cell r="C488">
            <v>2022</v>
          </cell>
          <cell r="F488" t="str">
            <v>Data Scientist</v>
          </cell>
          <cell r="I488">
            <v>176000</v>
          </cell>
          <cell r="N488" t="str">
            <v>Full-Time</v>
          </cell>
          <cell r="O488" t="str">
            <v>Contract</v>
          </cell>
          <cell r="Q488" t="str">
            <v>176000 $</v>
          </cell>
          <cell r="R488" t="str">
            <v>United States</v>
          </cell>
          <cell r="S488" t="str">
            <v>United States</v>
          </cell>
          <cell r="Y488" t="str">
            <v>Senior-Level</v>
          </cell>
        </row>
        <row r="489">
          <cell r="B489">
            <v>486</v>
          </cell>
          <cell r="C489">
            <v>2022</v>
          </cell>
          <cell r="F489" t="str">
            <v>Data Scientist</v>
          </cell>
          <cell r="I489">
            <v>144000</v>
          </cell>
          <cell r="N489" t="str">
            <v>Full-Time</v>
          </cell>
          <cell r="O489" t="str">
            <v>Contract</v>
          </cell>
          <cell r="Q489" t="str">
            <v>144000 $</v>
          </cell>
          <cell r="R489" t="str">
            <v>United States</v>
          </cell>
          <cell r="S489" t="str">
            <v>United States</v>
          </cell>
          <cell r="Y489" t="str">
            <v>Senior-Level</v>
          </cell>
        </row>
        <row r="490">
          <cell r="B490">
            <v>487</v>
          </cell>
          <cell r="C490">
            <v>2022</v>
          </cell>
          <cell r="F490" t="str">
            <v>Data Engineer</v>
          </cell>
          <cell r="I490">
            <v>200100</v>
          </cell>
          <cell r="N490" t="str">
            <v>Full-Time</v>
          </cell>
          <cell r="O490" t="str">
            <v>Contract</v>
          </cell>
          <cell r="Q490" t="str">
            <v>200100 $</v>
          </cell>
          <cell r="R490" t="str">
            <v>United States</v>
          </cell>
          <cell r="S490" t="str">
            <v>United States</v>
          </cell>
          <cell r="Y490" t="str">
            <v>Senior-Level</v>
          </cell>
        </row>
        <row r="491">
          <cell r="B491">
            <v>488</v>
          </cell>
          <cell r="C491">
            <v>2022</v>
          </cell>
          <cell r="F491" t="str">
            <v>Data Engineer</v>
          </cell>
          <cell r="I491">
            <v>145000</v>
          </cell>
          <cell r="N491" t="str">
            <v>Full-Time</v>
          </cell>
          <cell r="O491" t="str">
            <v>Contract</v>
          </cell>
          <cell r="Q491" t="str">
            <v>145000 $</v>
          </cell>
          <cell r="R491" t="str">
            <v>United States</v>
          </cell>
          <cell r="S491" t="str">
            <v>United States</v>
          </cell>
          <cell r="Y491" t="str">
            <v>Senior-Level</v>
          </cell>
        </row>
        <row r="492">
          <cell r="B492">
            <v>489</v>
          </cell>
          <cell r="C492">
            <v>2022</v>
          </cell>
          <cell r="F492" t="str">
            <v>Data Engineer</v>
          </cell>
          <cell r="I492">
            <v>70500</v>
          </cell>
          <cell r="N492" t="str">
            <v>Full-Time</v>
          </cell>
          <cell r="O492" t="str">
            <v>Contract</v>
          </cell>
          <cell r="Q492" t="str">
            <v>70500 $</v>
          </cell>
          <cell r="R492" t="str">
            <v>United States</v>
          </cell>
          <cell r="S492" t="str">
            <v>United States</v>
          </cell>
          <cell r="Y492" t="str">
            <v>Senior-Level</v>
          </cell>
        </row>
        <row r="493">
          <cell r="B493">
            <v>490</v>
          </cell>
          <cell r="C493">
            <v>2022</v>
          </cell>
          <cell r="F493" t="str">
            <v>Analytics Engineer</v>
          </cell>
          <cell r="I493">
            <v>205300</v>
          </cell>
          <cell r="N493" t="str">
            <v>Full-Time</v>
          </cell>
          <cell r="O493" t="str">
            <v>Contract</v>
          </cell>
          <cell r="Q493" t="str">
            <v>205300 $</v>
          </cell>
          <cell r="R493" t="str">
            <v>United States</v>
          </cell>
          <cell r="S493" t="str">
            <v>United States</v>
          </cell>
          <cell r="Y493" t="str">
            <v>Senior-Level</v>
          </cell>
        </row>
        <row r="494">
          <cell r="B494">
            <v>491</v>
          </cell>
          <cell r="C494">
            <v>2022</v>
          </cell>
          <cell r="F494" t="str">
            <v>Analytics Engineer</v>
          </cell>
          <cell r="I494">
            <v>184700</v>
          </cell>
          <cell r="N494" t="str">
            <v>Full-Time</v>
          </cell>
          <cell r="O494" t="str">
            <v>Contract</v>
          </cell>
          <cell r="Q494" t="str">
            <v>184700 $</v>
          </cell>
          <cell r="R494" t="str">
            <v>United States</v>
          </cell>
          <cell r="S494" t="str">
            <v>United States</v>
          </cell>
          <cell r="Y494" t="str">
            <v>Senior-Level</v>
          </cell>
        </row>
        <row r="495">
          <cell r="B495">
            <v>492</v>
          </cell>
          <cell r="C495">
            <v>2022</v>
          </cell>
          <cell r="F495" t="str">
            <v>Data Engineer</v>
          </cell>
          <cell r="I495">
            <v>175100</v>
          </cell>
          <cell r="N495" t="str">
            <v>Full-Time</v>
          </cell>
          <cell r="O495" t="str">
            <v>Contract</v>
          </cell>
          <cell r="Q495" t="str">
            <v>175100 $</v>
          </cell>
          <cell r="R495" t="str">
            <v>United States</v>
          </cell>
          <cell r="S495" t="str">
            <v>United States</v>
          </cell>
          <cell r="Y495" t="str">
            <v>Senior-Level</v>
          </cell>
        </row>
        <row r="496">
          <cell r="B496">
            <v>493</v>
          </cell>
          <cell r="C496">
            <v>2022</v>
          </cell>
          <cell r="F496" t="str">
            <v>Data Engineer</v>
          </cell>
          <cell r="I496">
            <v>140250</v>
          </cell>
          <cell r="N496" t="str">
            <v>Full-Time</v>
          </cell>
          <cell r="O496" t="str">
            <v>Contract</v>
          </cell>
          <cell r="Q496" t="str">
            <v>140250 $</v>
          </cell>
          <cell r="R496" t="str">
            <v>United States</v>
          </cell>
          <cell r="S496" t="str">
            <v>United States</v>
          </cell>
          <cell r="Y496" t="str">
            <v>Senior-Level</v>
          </cell>
        </row>
        <row r="497">
          <cell r="B497">
            <v>494</v>
          </cell>
          <cell r="C497">
            <v>2022</v>
          </cell>
          <cell r="F497" t="str">
            <v>Data Analyst</v>
          </cell>
          <cell r="I497">
            <v>116150</v>
          </cell>
          <cell r="N497" t="str">
            <v>Full-Time</v>
          </cell>
          <cell r="O497" t="str">
            <v>Contract</v>
          </cell>
          <cell r="Q497" t="str">
            <v>116150 $</v>
          </cell>
          <cell r="R497" t="str">
            <v>United States</v>
          </cell>
          <cell r="S497" t="str">
            <v>United States</v>
          </cell>
          <cell r="Y497" t="str">
            <v>Senior-Level</v>
          </cell>
        </row>
        <row r="498">
          <cell r="B498">
            <v>495</v>
          </cell>
          <cell r="C498">
            <v>2022</v>
          </cell>
          <cell r="F498" t="str">
            <v>Data Engineer</v>
          </cell>
          <cell r="I498">
            <v>54000</v>
          </cell>
          <cell r="N498" t="str">
            <v>Full-Time</v>
          </cell>
          <cell r="O498" t="str">
            <v>Contract</v>
          </cell>
          <cell r="Q498" t="str">
            <v>54000 $</v>
          </cell>
          <cell r="R498" t="str">
            <v>United States</v>
          </cell>
          <cell r="S498" t="str">
            <v>United States</v>
          </cell>
          <cell r="Y498" t="str">
            <v>Mid-Level</v>
          </cell>
        </row>
        <row r="499">
          <cell r="B499">
            <v>496</v>
          </cell>
          <cell r="C499">
            <v>2022</v>
          </cell>
          <cell r="F499" t="str">
            <v>Data Analyst</v>
          </cell>
          <cell r="I499">
            <v>65438</v>
          </cell>
          <cell r="N499" t="str">
            <v>Full-Time</v>
          </cell>
          <cell r="O499" t="str">
            <v>Contract</v>
          </cell>
          <cell r="Q499" t="str">
            <v>50000 £</v>
          </cell>
          <cell r="R499" t="str">
            <v>United Kingdom</v>
          </cell>
          <cell r="S499" t="str">
            <v>United Kingdom</v>
          </cell>
          <cell r="Y499" t="str">
            <v>Senior-Level</v>
          </cell>
        </row>
        <row r="500">
          <cell r="B500">
            <v>497</v>
          </cell>
          <cell r="C500">
            <v>2022</v>
          </cell>
          <cell r="F500" t="str">
            <v>Data Scientist</v>
          </cell>
          <cell r="I500">
            <v>210000</v>
          </cell>
          <cell r="N500" t="str">
            <v>Full-Time</v>
          </cell>
          <cell r="O500" t="str">
            <v>Contract</v>
          </cell>
          <cell r="Q500" t="str">
            <v>210000 $</v>
          </cell>
          <cell r="R500" t="str">
            <v>United States</v>
          </cell>
          <cell r="S500" t="str">
            <v>United States</v>
          </cell>
          <cell r="Y500" t="str">
            <v>Senior-Level</v>
          </cell>
        </row>
        <row r="501">
          <cell r="B501">
            <v>498</v>
          </cell>
          <cell r="C501">
            <v>2022</v>
          </cell>
          <cell r="F501" t="str">
            <v>Data Analyst</v>
          </cell>
          <cell r="I501">
            <v>69000</v>
          </cell>
          <cell r="N501" t="str">
            <v>Full-Time</v>
          </cell>
          <cell r="O501" t="str">
            <v>Contract</v>
          </cell>
          <cell r="Q501" t="str">
            <v>69000 $</v>
          </cell>
          <cell r="R501" t="str">
            <v>United States</v>
          </cell>
          <cell r="S501" t="str">
            <v>United States</v>
          </cell>
          <cell r="Y501" t="str">
            <v>Senior-Level</v>
          </cell>
        </row>
        <row r="502">
          <cell r="B502">
            <v>499</v>
          </cell>
          <cell r="C502">
            <v>2022</v>
          </cell>
          <cell r="F502" t="str">
            <v>Data Analyst</v>
          </cell>
          <cell r="I502">
            <v>150075</v>
          </cell>
          <cell r="N502" t="str">
            <v>Full-Time</v>
          </cell>
          <cell r="O502" t="str">
            <v>Contract</v>
          </cell>
          <cell r="Q502" t="str">
            <v>150075 $</v>
          </cell>
          <cell r="R502" t="str">
            <v>United States</v>
          </cell>
          <cell r="S502" t="str">
            <v>United States</v>
          </cell>
          <cell r="Y502" t="str">
            <v>Senior-Level</v>
          </cell>
        </row>
        <row r="503">
          <cell r="B503">
            <v>500</v>
          </cell>
          <cell r="C503">
            <v>2022</v>
          </cell>
          <cell r="F503" t="str">
            <v>Data Engineer</v>
          </cell>
          <cell r="I503">
            <v>25000</v>
          </cell>
          <cell r="N503" t="str">
            <v>Full-Time</v>
          </cell>
          <cell r="O503" t="str">
            <v>Contract</v>
          </cell>
          <cell r="Q503" t="str">
            <v>25000 $</v>
          </cell>
          <cell r="R503" t="str">
            <v>United States</v>
          </cell>
          <cell r="S503" t="str">
            <v>United States</v>
          </cell>
          <cell r="Y503" t="str">
            <v>Senior-Level</v>
          </cell>
        </row>
        <row r="504">
          <cell r="B504">
            <v>501</v>
          </cell>
          <cell r="C504">
            <v>2022</v>
          </cell>
          <cell r="F504" t="str">
            <v>Data Analyst</v>
          </cell>
          <cell r="I504">
            <v>105000</v>
          </cell>
          <cell r="N504" t="str">
            <v>Full-Time</v>
          </cell>
          <cell r="O504" t="str">
            <v>Contract</v>
          </cell>
          <cell r="Q504" t="str">
            <v>105000 $</v>
          </cell>
          <cell r="R504" t="str">
            <v>United States</v>
          </cell>
          <cell r="S504" t="str">
            <v>United States</v>
          </cell>
          <cell r="Y504" t="str">
            <v>Senior-Level</v>
          </cell>
        </row>
        <row r="505">
          <cell r="B505">
            <v>502</v>
          </cell>
          <cell r="C505">
            <v>2022</v>
          </cell>
          <cell r="F505" t="str">
            <v>Data Analyst</v>
          </cell>
          <cell r="I505">
            <v>110925</v>
          </cell>
          <cell r="N505" t="str">
            <v>Full-Time</v>
          </cell>
          <cell r="O505" t="str">
            <v>Contract</v>
          </cell>
          <cell r="Q505" t="str">
            <v>110925 $</v>
          </cell>
          <cell r="R505" t="str">
            <v>United States</v>
          </cell>
          <cell r="S505" t="str">
            <v>United States</v>
          </cell>
          <cell r="Y505" t="str">
            <v>Mid-Level</v>
          </cell>
        </row>
        <row r="506">
          <cell r="B506">
            <v>503</v>
          </cell>
          <cell r="C506">
            <v>2022</v>
          </cell>
          <cell r="F506" t="str">
            <v>Data Analyst</v>
          </cell>
          <cell r="I506">
            <v>45807</v>
          </cell>
          <cell r="N506" t="str">
            <v>Full-Time</v>
          </cell>
          <cell r="O506" t="str">
            <v>Contract</v>
          </cell>
          <cell r="Q506" t="str">
            <v>35000 £</v>
          </cell>
          <cell r="R506" t="str">
            <v>United Kingdom</v>
          </cell>
          <cell r="S506" t="str">
            <v>United Kingdom</v>
          </cell>
          <cell r="Y506" t="str">
            <v>Senior-Level</v>
          </cell>
        </row>
        <row r="507">
          <cell r="B507">
            <v>504</v>
          </cell>
          <cell r="C507">
            <v>2022</v>
          </cell>
          <cell r="F507" t="str">
            <v>Data Architect</v>
          </cell>
          <cell r="I507">
            <v>192564</v>
          </cell>
          <cell r="N507" t="str">
            <v>Full-Time</v>
          </cell>
          <cell r="O507" t="str">
            <v>Contract</v>
          </cell>
          <cell r="Q507" t="str">
            <v>192564 $</v>
          </cell>
          <cell r="R507" t="str">
            <v>United States</v>
          </cell>
          <cell r="S507" t="str">
            <v>United States</v>
          </cell>
          <cell r="Y507" t="str">
            <v>Senior-Level</v>
          </cell>
        </row>
        <row r="508">
          <cell r="B508">
            <v>505</v>
          </cell>
          <cell r="C508">
            <v>2022</v>
          </cell>
          <cell r="F508" t="str">
            <v>Data Architect</v>
          </cell>
          <cell r="I508">
            <v>144854</v>
          </cell>
          <cell r="N508" t="str">
            <v>Full-Time</v>
          </cell>
          <cell r="O508" t="str">
            <v>Contract</v>
          </cell>
          <cell r="Q508" t="str">
            <v>144854 $</v>
          </cell>
          <cell r="R508" t="str">
            <v>United States</v>
          </cell>
          <cell r="S508" t="str">
            <v>United States</v>
          </cell>
          <cell r="Y508" t="str">
            <v>Senior-Level</v>
          </cell>
        </row>
        <row r="509">
          <cell r="B509">
            <v>506</v>
          </cell>
          <cell r="C509">
            <v>2022</v>
          </cell>
          <cell r="F509" t="str">
            <v>Data Analytics Manager</v>
          </cell>
          <cell r="I509">
            <v>150260</v>
          </cell>
          <cell r="N509" t="str">
            <v>Full-Time</v>
          </cell>
          <cell r="O509" t="str">
            <v>Contract</v>
          </cell>
          <cell r="Q509" t="str">
            <v>150260 $</v>
          </cell>
          <cell r="R509" t="str">
            <v>United States</v>
          </cell>
          <cell r="S509" t="str">
            <v>United States</v>
          </cell>
          <cell r="Y509" t="str">
            <v>Senior-Level</v>
          </cell>
        </row>
        <row r="510">
          <cell r="B510">
            <v>507</v>
          </cell>
          <cell r="C510">
            <v>2022</v>
          </cell>
          <cell r="F510" t="str">
            <v>Data Analytics Manager</v>
          </cell>
          <cell r="I510">
            <v>109280</v>
          </cell>
          <cell r="N510" t="str">
            <v>Full-Time</v>
          </cell>
          <cell r="O510" t="str">
            <v>Contract</v>
          </cell>
          <cell r="Q510" t="str">
            <v>109280 $</v>
          </cell>
          <cell r="R510" t="str">
            <v>United States</v>
          </cell>
          <cell r="S510" t="str">
            <v>United States</v>
          </cell>
          <cell r="Y510" t="str">
            <v>Entry-Level</v>
          </cell>
        </row>
        <row r="511">
          <cell r="B511">
            <v>508</v>
          </cell>
          <cell r="C511">
            <v>2022</v>
          </cell>
          <cell r="F511" t="str">
            <v>Data Analyst</v>
          </cell>
          <cell r="I511">
            <v>67000</v>
          </cell>
          <cell r="N511" t="str">
            <v>Full-Time</v>
          </cell>
          <cell r="O511" t="str">
            <v>Contract</v>
          </cell>
          <cell r="Q511" t="str">
            <v>67000 $</v>
          </cell>
          <cell r="R511" t="str">
            <v>Canada</v>
          </cell>
          <cell r="S511" t="str">
            <v>Canada</v>
          </cell>
          <cell r="Y511" t="str">
            <v>Entry-Level</v>
          </cell>
        </row>
        <row r="512">
          <cell r="B512">
            <v>509</v>
          </cell>
          <cell r="C512">
            <v>2022</v>
          </cell>
          <cell r="F512" t="str">
            <v>Data Analyst</v>
          </cell>
          <cell r="I512">
            <v>52000</v>
          </cell>
          <cell r="N512" t="str">
            <v>Full-Time</v>
          </cell>
          <cell r="O512" t="str">
            <v>Contract</v>
          </cell>
          <cell r="Q512" t="str">
            <v>52000 $</v>
          </cell>
          <cell r="R512" t="str">
            <v>Canada</v>
          </cell>
          <cell r="S512" t="str">
            <v>Canada</v>
          </cell>
          <cell r="Y512" t="str">
            <v>Senior-Level</v>
          </cell>
        </row>
        <row r="513">
          <cell r="B513">
            <v>510</v>
          </cell>
          <cell r="C513">
            <v>2022</v>
          </cell>
          <cell r="F513" t="str">
            <v>Data Engineer</v>
          </cell>
          <cell r="I513">
            <v>154000</v>
          </cell>
          <cell r="N513" t="str">
            <v>Full-Time</v>
          </cell>
          <cell r="O513" t="str">
            <v>Contract</v>
          </cell>
          <cell r="Q513" t="str">
            <v>154000 $</v>
          </cell>
          <cell r="R513" t="str">
            <v>United States</v>
          </cell>
          <cell r="S513" t="str">
            <v>United States</v>
          </cell>
          <cell r="Y513" t="str">
            <v>Senior-Level</v>
          </cell>
        </row>
        <row r="514">
          <cell r="B514">
            <v>511</v>
          </cell>
          <cell r="C514">
            <v>2022</v>
          </cell>
          <cell r="F514" t="str">
            <v>Data Engineer</v>
          </cell>
          <cell r="I514">
            <v>126000</v>
          </cell>
          <cell r="N514" t="str">
            <v>Full-Time</v>
          </cell>
          <cell r="O514" t="str">
            <v>Contract</v>
          </cell>
          <cell r="Q514" t="str">
            <v>126000 $</v>
          </cell>
          <cell r="R514" t="str">
            <v>United States</v>
          </cell>
          <cell r="S514" t="str">
            <v>United States</v>
          </cell>
          <cell r="Y514" t="str">
            <v>Senior-Level</v>
          </cell>
        </row>
        <row r="515">
          <cell r="B515">
            <v>512</v>
          </cell>
          <cell r="C515">
            <v>2022</v>
          </cell>
          <cell r="F515" t="str">
            <v>Data Analyst</v>
          </cell>
          <cell r="I515">
            <v>129000</v>
          </cell>
          <cell r="N515" t="str">
            <v>Full-Time</v>
          </cell>
          <cell r="O515" t="str">
            <v>Contract</v>
          </cell>
          <cell r="Q515" t="str">
            <v>129000 $</v>
          </cell>
          <cell r="R515" t="str">
            <v>United States</v>
          </cell>
          <cell r="S515" t="str">
            <v>United States</v>
          </cell>
          <cell r="Y515" t="str">
            <v>Senior-Level</v>
          </cell>
        </row>
        <row r="516">
          <cell r="B516">
            <v>513</v>
          </cell>
          <cell r="C516">
            <v>2022</v>
          </cell>
          <cell r="F516" t="str">
            <v>Data Analyst</v>
          </cell>
          <cell r="I516">
            <v>150000</v>
          </cell>
          <cell r="N516" t="str">
            <v>Full-Time</v>
          </cell>
          <cell r="O516" t="str">
            <v>Contract</v>
          </cell>
          <cell r="Q516" t="str">
            <v>150000 $</v>
          </cell>
          <cell r="R516" t="str">
            <v>United States</v>
          </cell>
          <cell r="S516" t="str">
            <v>United States</v>
          </cell>
          <cell r="Y516" t="str">
            <v>Mid-Level</v>
          </cell>
        </row>
        <row r="517">
          <cell r="B517">
            <v>514</v>
          </cell>
          <cell r="C517">
            <v>2022</v>
          </cell>
          <cell r="F517" t="str">
            <v>AI Scientist</v>
          </cell>
          <cell r="I517">
            <v>200000</v>
          </cell>
          <cell r="N517" t="str">
            <v>Full-Time</v>
          </cell>
          <cell r="O517" t="str">
            <v>Large</v>
          </cell>
          <cell r="Q517" t="str">
            <v>200000 $</v>
          </cell>
          <cell r="R517" t="str">
            <v>India</v>
          </cell>
          <cell r="S517" t="str">
            <v>United States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R523"/>
  <sheetViews>
    <sheetView showGridLines="0" tabSelected="1" topLeftCell="A7" workbookViewId="0">
      <selection activeCell="Q53" sqref="Q53"/>
    </sheetView>
  </sheetViews>
  <sheetFormatPr defaultColWidth="14.7109375" defaultRowHeight="15"/>
  <cols>
    <col min="1" max="1" width="3.7109375" customWidth="1"/>
    <col min="2" max="2" width="8" customWidth="1"/>
    <col min="3" max="3" width="11.28515625" customWidth="1"/>
    <col min="4" max="4" width="25.85546875" customWidth="1"/>
    <col min="5" max="5" width="16.7109375" customWidth="1"/>
    <col min="6" max="6" width="11.7109375" customWidth="1"/>
    <col min="8" max="8" width="17.85546875" customWidth="1"/>
    <col min="9" max="9" width="13.42578125" customWidth="1"/>
    <col min="10" max="10" width="18.42578125" customWidth="1"/>
    <col min="11" max="11" width="17.28515625" customWidth="1"/>
    <col min="12" max="12" width="3.7109375" customWidth="1"/>
    <col min="14" max="14" width="21.85546875" customWidth="1"/>
    <col min="15" max="15" width="15.5703125" customWidth="1"/>
    <col min="16" max="16" width="17.85546875" customWidth="1"/>
  </cols>
  <sheetData>
    <row r="2" spans="2:15"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2:15"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2:15" ht="18.75">
      <c r="B4" s="15"/>
      <c r="C4" s="15"/>
      <c r="D4" s="16" t="s">
        <v>30</v>
      </c>
      <c r="E4" s="16"/>
      <c r="F4" s="16"/>
      <c r="G4" s="16"/>
      <c r="H4" s="16"/>
      <c r="I4" s="16"/>
      <c r="J4" s="15"/>
      <c r="K4" s="15"/>
    </row>
    <row r="5" spans="2:15"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2:1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5" s="13" customFormat="1"/>
    <row r="8" spans="2:15">
      <c r="B8" s="12" t="str">
        <f>[1]Sheet1!B2</f>
        <v>sr. no</v>
      </c>
      <c r="C8" s="11" t="str">
        <f>[1]Sheet1!C2</f>
        <v>Work Year</v>
      </c>
      <c r="D8" s="11" t="str">
        <f>[1]Sheet1!F2</f>
        <v>Job Title</v>
      </c>
      <c r="E8" s="11" t="str">
        <f>[1]Sheet1!Y2</f>
        <v>Experience Level</v>
      </c>
      <c r="F8" s="11" t="str">
        <f>[1]Sheet1!Q2</f>
        <v>Salary</v>
      </c>
      <c r="G8" s="11" t="str">
        <f>[1]Sheet1!I2</f>
        <v>Salary in USD</v>
      </c>
      <c r="H8" s="11" t="str">
        <f>[1]Sheet1!N2</f>
        <v>Employement Type</v>
      </c>
      <c r="I8" s="11" t="str">
        <f>[1]Sheet1!O2</f>
        <v>Company Size</v>
      </c>
      <c r="J8" s="11" t="str">
        <f>[1]Sheet1!R2</f>
        <v>Employee Location</v>
      </c>
      <c r="K8" s="11" t="str">
        <f>[1]Sheet1!S2</f>
        <v>Company Location</v>
      </c>
      <c r="L8" s="10"/>
      <c r="M8" s="6" t="s">
        <v>29</v>
      </c>
      <c r="N8" s="6"/>
      <c r="O8" s="6"/>
    </row>
    <row r="9" spans="2:15">
      <c r="C9" s="2"/>
      <c r="D9" s="2"/>
      <c r="E9" s="2"/>
      <c r="F9" s="2"/>
      <c r="G9" s="2"/>
      <c r="H9" s="2"/>
      <c r="I9" s="2"/>
      <c r="J9" s="2"/>
      <c r="K9" s="2"/>
    </row>
    <row r="10" spans="2:15">
      <c r="B10">
        <f>[1]Sheet1!B4</f>
        <v>1</v>
      </c>
      <c r="C10" s="2">
        <f>[1]Sheet1!C4</f>
        <v>2020</v>
      </c>
      <c r="D10" s="2" t="str">
        <f>[1]Sheet1!F4</f>
        <v>Data Scientist</v>
      </c>
      <c r="E10" s="2" t="str">
        <f>[1]Sheet1!Y3</f>
        <v>Mid-Level</v>
      </c>
      <c r="F10" s="2" t="str">
        <f>[1]Sheet1!Q4</f>
        <v>70000 €</v>
      </c>
      <c r="G10" s="3">
        <f>[1]Sheet1!I4</f>
        <v>79833</v>
      </c>
      <c r="H10" s="2" t="str">
        <f>[1]Sheet1!N4</f>
        <v>Full-Time</v>
      </c>
      <c r="I10" s="2" t="str">
        <f>[1]Sheet1!O4</f>
        <v>Large</v>
      </c>
      <c r="J10" s="2" t="str">
        <f>[1]Sheet1!R4</f>
        <v>Germany</v>
      </c>
      <c r="K10" s="2" t="str">
        <f>[1]Sheet1!S4</f>
        <v>Germany</v>
      </c>
      <c r="L10" s="1"/>
      <c r="M10" s="5" t="s">
        <v>28</v>
      </c>
      <c r="N10" s="5"/>
      <c r="O10" s="5" t="s">
        <v>22</v>
      </c>
    </row>
    <row r="11" spans="2:15">
      <c r="B11">
        <f>[1]Sheet1!B5</f>
        <v>2</v>
      </c>
      <c r="C11" s="2">
        <f>[1]Sheet1!C5</f>
        <v>2020</v>
      </c>
      <c r="D11" s="2" t="str">
        <f>[1]Sheet1!F5</f>
        <v>Machine Learning Scientist</v>
      </c>
      <c r="E11" s="2" t="str">
        <f>[1]Sheet1!Y4</f>
        <v>Senior-Level</v>
      </c>
      <c r="F11" s="2" t="str">
        <f>[1]Sheet1!Q5</f>
        <v>260000 $</v>
      </c>
      <c r="G11" s="3">
        <f>[1]Sheet1!I5</f>
        <v>260000</v>
      </c>
      <c r="H11" s="2" t="str">
        <f>[1]Sheet1!N5</f>
        <v>Full-Time</v>
      </c>
      <c r="I11" s="2" t="str">
        <f>[1]Sheet1!O5</f>
        <v>Small</v>
      </c>
      <c r="J11" s="2" t="str">
        <f>[1]Sheet1!R5</f>
        <v>Japan</v>
      </c>
      <c r="K11" s="2" t="str">
        <f>[1]Sheet1!S5</f>
        <v>Japan</v>
      </c>
      <c r="L11" s="1"/>
    </row>
    <row r="12" spans="2:15">
      <c r="B12">
        <f>[1]Sheet1!B6</f>
        <v>3</v>
      </c>
      <c r="C12" s="2">
        <f>[1]Sheet1!C6</f>
        <v>2020</v>
      </c>
      <c r="D12" s="2" t="str">
        <f>[1]Sheet1!F6</f>
        <v>Big Data Engineer</v>
      </c>
      <c r="E12" s="2" t="str">
        <f>[1]Sheet1!Y5</f>
        <v>Senior-Level</v>
      </c>
      <c r="F12" s="2" t="str">
        <f>[1]Sheet1!Q6</f>
        <v>85000 £</v>
      </c>
      <c r="G12" s="3">
        <f>[1]Sheet1!I6</f>
        <v>109024</v>
      </c>
      <c r="H12" s="2" t="str">
        <f>[1]Sheet1!N6</f>
        <v>Full-Time</v>
      </c>
      <c r="I12" s="2" t="str">
        <f>[1]Sheet1!O6</f>
        <v>Contract</v>
      </c>
      <c r="J12" s="2" t="str">
        <f>[1]Sheet1!R6</f>
        <v>United Kingdom</v>
      </c>
      <c r="K12" s="2" t="str">
        <f>[1]Sheet1!S6</f>
        <v>United Kingdom</v>
      </c>
      <c r="L12" s="1"/>
      <c r="M12" s="17" t="str">
        <f>E15</f>
        <v>Entry-Level</v>
      </c>
      <c r="N12" s="17"/>
      <c r="O12" s="18">
        <f>AVERAGEIF(E10:E523,"Entry-Level",G10:G523)</f>
        <v>60503.282352941176</v>
      </c>
    </row>
    <row r="13" spans="2:15">
      <c r="B13">
        <f>[1]Sheet1!B7</f>
        <v>4</v>
      </c>
      <c r="C13" s="2">
        <f>[1]Sheet1!C7</f>
        <v>2020</v>
      </c>
      <c r="D13" s="2" t="str">
        <f>[1]Sheet1!F7</f>
        <v>Product Data Analyst</v>
      </c>
      <c r="E13" s="2" t="str">
        <f>[1]Sheet1!Y6</f>
        <v>Mid-Level</v>
      </c>
      <c r="F13" s="2" t="str">
        <f>[1]Sheet1!Q7</f>
        <v>20000 $</v>
      </c>
      <c r="G13" s="3">
        <f>[1]Sheet1!I7</f>
        <v>20000</v>
      </c>
      <c r="H13" s="2" t="str">
        <f>[1]Sheet1!N7</f>
        <v>Full-Time</v>
      </c>
      <c r="I13" s="2" t="str">
        <f>[1]Sheet1!O7</f>
        <v>Small</v>
      </c>
      <c r="J13" s="2" t="str">
        <f>[1]Sheet1!R7</f>
        <v>Honduras</v>
      </c>
      <c r="K13" s="2" t="str">
        <f>[1]Sheet1!S7</f>
        <v>Honduras</v>
      </c>
      <c r="L13" s="1"/>
      <c r="M13" s="17" t="str">
        <f>E13</f>
        <v>Mid-Level</v>
      </c>
      <c r="N13" s="17"/>
      <c r="O13" s="18">
        <f>AVERAGEIF(E10:E523,"Mid-Level",G10:G523)</f>
        <v>86291.979057591627</v>
      </c>
    </row>
    <row r="14" spans="2:15">
      <c r="B14">
        <f>[1]Sheet1!B8</f>
        <v>5</v>
      </c>
      <c r="C14" s="2">
        <f>[1]Sheet1!C8</f>
        <v>2020</v>
      </c>
      <c r="D14" s="2" t="str">
        <f>[1]Sheet1!F8</f>
        <v>Machine Learning Engineer</v>
      </c>
      <c r="E14" s="2" t="str">
        <f>[1]Sheet1!Y7</f>
        <v>Senior-Level</v>
      </c>
      <c r="F14" s="2" t="str">
        <f>[1]Sheet1!Q8</f>
        <v>150000 $</v>
      </c>
      <c r="G14" s="3">
        <f>[1]Sheet1!I8</f>
        <v>150000</v>
      </c>
      <c r="H14" s="2" t="str">
        <f>[1]Sheet1!N8</f>
        <v>Full-Time</v>
      </c>
      <c r="I14" s="2" t="str">
        <f>[1]Sheet1!O8</f>
        <v>Large</v>
      </c>
      <c r="J14" s="2" t="str">
        <f>[1]Sheet1!R8</f>
        <v>United States</v>
      </c>
      <c r="K14" s="2" t="str">
        <f>[1]Sheet1!S8</f>
        <v>United States</v>
      </c>
      <c r="L14" s="1"/>
      <c r="M14" s="17" t="str">
        <f>E11</f>
        <v>Senior-Level</v>
      </c>
      <c r="N14" s="17"/>
      <c r="O14" s="18">
        <f>AVERAGEIF(E10:E523,"senior-Level",G10:G523)</f>
        <v>139745.15023474177</v>
      </c>
    </row>
    <row r="15" spans="2:15">
      <c r="B15">
        <f>[1]Sheet1!B9</f>
        <v>6</v>
      </c>
      <c r="C15" s="2">
        <f>[1]Sheet1!C9</f>
        <v>2020</v>
      </c>
      <c r="D15" s="2" t="str">
        <f>[1]Sheet1!F9</f>
        <v>Data Analyst</v>
      </c>
      <c r="E15" s="2" t="str">
        <f>[1]Sheet1!Y8</f>
        <v>Entry-Level</v>
      </c>
      <c r="F15" s="2" t="str">
        <f>[1]Sheet1!Q9</f>
        <v>72000 $</v>
      </c>
      <c r="G15" s="3">
        <f>[1]Sheet1!I9</f>
        <v>72000</v>
      </c>
      <c r="H15" s="2" t="str">
        <f>[1]Sheet1!N9</f>
        <v>Full-Time</v>
      </c>
      <c r="I15" s="2" t="str">
        <f>[1]Sheet1!O9</f>
        <v>Large</v>
      </c>
      <c r="J15" s="2" t="str">
        <f>[1]Sheet1!R9</f>
        <v>United States</v>
      </c>
      <c r="K15" s="2" t="str">
        <f>[1]Sheet1!S9</f>
        <v>United States</v>
      </c>
      <c r="L15" s="1"/>
    </row>
    <row r="16" spans="2:15">
      <c r="B16">
        <f>[1]Sheet1!B10</f>
        <v>7</v>
      </c>
      <c r="C16" s="2">
        <f>[1]Sheet1!C10</f>
        <v>2020</v>
      </c>
      <c r="D16" s="2" t="str">
        <f>[1]Sheet1!F10</f>
        <v>Lead Data Scientist</v>
      </c>
      <c r="E16" s="2" t="str">
        <f>[1]Sheet1!Y9</f>
        <v>Senior-Level</v>
      </c>
      <c r="F16" s="2" t="str">
        <f>[1]Sheet1!Q10</f>
        <v>190000 $</v>
      </c>
      <c r="G16" s="3">
        <f>[1]Sheet1!I10</f>
        <v>190000</v>
      </c>
      <c r="H16" s="2" t="str">
        <f>[1]Sheet1!N10</f>
        <v>Full-Time</v>
      </c>
      <c r="I16" s="2" t="str">
        <f>[1]Sheet1!O10</f>
        <v>Small</v>
      </c>
      <c r="J16" s="2" t="str">
        <f>[1]Sheet1!R10</f>
        <v>United States</v>
      </c>
      <c r="K16" s="2" t="str">
        <f>[1]Sheet1!S10</f>
        <v>United States</v>
      </c>
      <c r="L16" s="1"/>
    </row>
    <row r="17" spans="2:15">
      <c r="B17">
        <f>[1]Sheet1!B11</f>
        <v>8</v>
      </c>
      <c r="C17" s="2">
        <f>[1]Sheet1!C11</f>
        <v>2020</v>
      </c>
      <c r="D17" s="2" t="str">
        <f>[1]Sheet1!F11</f>
        <v>Data Scientist</v>
      </c>
      <c r="E17" s="2" t="str">
        <f>[1]Sheet1!Y10</f>
        <v>Mid-Level</v>
      </c>
      <c r="F17" s="2" t="str">
        <f>[1]Sheet1!Q11</f>
        <v>11000000 Ft</v>
      </c>
      <c r="G17" s="3">
        <f>[1]Sheet1!I11</f>
        <v>35735</v>
      </c>
      <c r="H17" s="2" t="str">
        <f>[1]Sheet1!N11</f>
        <v>Full-Time</v>
      </c>
      <c r="I17" s="2" t="str">
        <f>[1]Sheet1!O11</f>
        <v>Large</v>
      </c>
      <c r="J17" s="2" t="str">
        <f>[1]Sheet1!R11</f>
        <v>Hungary</v>
      </c>
      <c r="K17" s="2" t="str">
        <f>[1]Sheet1!S11</f>
        <v>Hungary</v>
      </c>
      <c r="L17" s="1"/>
      <c r="M17" s="6" t="s">
        <v>27</v>
      </c>
      <c r="N17" s="6"/>
      <c r="O17" s="6"/>
    </row>
    <row r="18" spans="2:15">
      <c r="B18">
        <f>[1]Sheet1!B12</f>
        <v>9</v>
      </c>
      <c r="C18" s="2">
        <f>[1]Sheet1!C12</f>
        <v>2020</v>
      </c>
      <c r="D18" s="2" t="str">
        <f>[1]Sheet1!F12</f>
        <v>Business Data Analyst</v>
      </c>
      <c r="E18" s="2" t="str">
        <f>[1]Sheet1!Y11</f>
        <v>Mid-Level</v>
      </c>
      <c r="F18" s="2" t="str">
        <f>[1]Sheet1!Q12</f>
        <v>135000 $</v>
      </c>
      <c r="G18" s="3">
        <f>[1]Sheet1!I12</f>
        <v>135000</v>
      </c>
      <c r="H18" s="2" t="str">
        <f>[1]Sheet1!N12</f>
        <v>Full-Time</v>
      </c>
      <c r="I18" s="2" t="str">
        <f>[1]Sheet1!O12</f>
        <v>Large</v>
      </c>
      <c r="J18" s="2" t="str">
        <f>[1]Sheet1!R12</f>
        <v>United States</v>
      </c>
      <c r="K18" s="2" t="str">
        <f>[1]Sheet1!S12</f>
        <v>United States</v>
      </c>
      <c r="L18" s="1"/>
    </row>
    <row r="19" spans="2:15">
      <c r="B19">
        <f>[1]Sheet1!B13</f>
        <v>10</v>
      </c>
      <c r="C19" s="2">
        <f>[1]Sheet1!C13</f>
        <v>2020</v>
      </c>
      <c r="D19" s="2" t="str">
        <f>[1]Sheet1!F13</f>
        <v>Lead Data Engineer</v>
      </c>
      <c r="E19" s="2" t="str">
        <f>[1]Sheet1!Y12</f>
        <v>Senior-Level</v>
      </c>
      <c r="F19" s="2" t="str">
        <f>[1]Sheet1!Q13</f>
        <v>125000 $</v>
      </c>
      <c r="G19" s="3">
        <f>[1]Sheet1!I13</f>
        <v>125000</v>
      </c>
      <c r="H19" s="2" t="str">
        <f>[1]Sheet1!N13</f>
        <v>Full-Time</v>
      </c>
      <c r="I19" s="2" t="str">
        <f>[1]Sheet1!O13</f>
        <v>Small</v>
      </c>
      <c r="J19" s="2" t="str">
        <f>[1]Sheet1!R13</f>
        <v>New Zealand</v>
      </c>
      <c r="K19" s="2" t="str">
        <f>[1]Sheet1!S13</f>
        <v>New Zealand</v>
      </c>
      <c r="L19" s="1"/>
      <c r="M19" s="5" t="s">
        <v>26</v>
      </c>
      <c r="N19" s="5"/>
      <c r="O19" s="5" t="s">
        <v>25</v>
      </c>
    </row>
    <row r="20" spans="2:15">
      <c r="B20">
        <f>[1]Sheet1!B14</f>
        <v>11</v>
      </c>
      <c r="C20" s="2">
        <f>[1]Sheet1!C14</f>
        <v>2020</v>
      </c>
      <c r="D20" s="2" t="str">
        <f>[1]Sheet1!F14</f>
        <v>Data Scientist</v>
      </c>
      <c r="E20" s="2" t="str">
        <f>[1]Sheet1!Y13</f>
        <v>Entry-Level</v>
      </c>
      <c r="F20" s="2" t="str">
        <f>[1]Sheet1!Q14</f>
        <v>45000 €</v>
      </c>
      <c r="G20" s="3">
        <f>[1]Sheet1!I14</f>
        <v>51321</v>
      </c>
      <c r="H20" s="2" t="str">
        <f>[1]Sheet1!N14</f>
        <v>Full-Time</v>
      </c>
      <c r="I20" s="2" t="str">
        <f>[1]Sheet1!O14</f>
        <v>Small</v>
      </c>
      <c r="J20" s="2" t="str">
        <f>[1]Sheet1!R14</f>
        <v>France</v>
      </c>
      <c r="K20" s="2" t="str">
        <f>[1]Sheet1!S14</f>
        <v>France</v>
      </c>
      <c r="L20" s="1"/>
    </row>
    <row r="21" spans="2:15">
      <c r="B21">
        <f>[1]Sheet1!B15</f>
        <v>12</v>
      </c>
      <c r="C21" s="2">
        <f>[1]Sheet1!C15</f>
        <v>2020</v>
      </c>
      <c r="D21" s="2" t="str">
        <f>[1]Sheet1!F15</f>
        <v>Data Scientist</v>
      </c>
      <c r="E21" s="2" t="str">
        <f>[1]Sheet1!Y14</f>
        <v>Mid-Level</v>
      </c>
      <c r="F21" s="2" t="str">
        <f>[1]Sheet1!Q15</f>
        <v>3000000 ₹</v>
      </c>
      <c r="G21" s="3">
        <f>[1]Sheet1!I15</f>
        <v>40481</v>
      </c>
      <c r="H21" s="2" t="str">
        <f>[1]Sheet1!N15</f>
        <v>Full-Time</v>
      </c>
      <c r="I21" s="2" t="str">
        <f>[1]Sheet1!O15</f>
        <v>Large</v>
      </c>
      <c r="J21" s="2" t="str">
        <f>[1]Sheet1!R15</f>
        <v>India</v>
      </c>
      <c r="K21" s="2" t="str">
        <f>[1]Sheet1!S15</f>
        <v>India</v>
      </c>
      <c r="L21" s="1"/>
      <c r="M21" s="17" t="str">
        <f>H10</f>
        <v>Full-Time</v>
      </c>
      <c r="N21" s="17"/>
      <c r="O21" s="18">
        <f>AVERAGEIF(H10:H523,"Full-Time",G10:G523)</f>
        <v>110967.42828282829</v>
      </c>
    </row>
    <row r="22" spans="2:15">
      <c r="B22">
        <f>[1]Sheet1!B16</f>
        <v>13</v>
      </c>
      <c r="C22" s="2">
        <f>[1]Sheet1!C16</f>
        <v>2020</v>
      </c>
      <c r="D22" s="2" t="str">
        <f>[1]Sheet1!F16</f>
        <v>Data Scientist</v>
      </c>
      <c r="E22" s="2" t="str">
        <f>[1]Sheet1!Y15</f>
        <v>Entry-Level</v>
      </c>
      <c r="F22" s="2" t="str">
        <f>[1]Sheet1!Q16</f>
        <v>35000 €</v>
      </c>
      <c r="G22" s="3">
        <f>[1]Sheet1!I16</f>
        <v>39916</v>
      </c>
      <c r="H22" s="2" t="str">
        <f>[1]Sheet1!N16</f>
        <v>Full-Time</v>
      </c>
      <c r="I22" s="2" t="str">
        <f>[1]Sheet1!O16</f>
        <v>Contract</v>
      </c>
      <c r="J22" s="2" t="str">
        <f>[1]Sheet1!R16</f>
        <v>France</v>
      </c>
      <c r="K22" s="2" t="str">
        <f>[1]Sheet1!S16</f>
        <v>France</v>
      </c>
      <c r="L22" s="1"/>
      <c r="M22" s="17" t="str">
        <f>H38</f>
        <v>Contract</v>
      </c>
      <c r="N22" s="17"/>
      <c r="O22" s="18">
        <f>AVERAGEIF(H10:H523,"contract",G10:G523)</f>
        <v>184575</v>
      </c>
    </row>
    <row r="23" spans="2:15">
      <c r="B23">
        <f>[1]Sheet1!B17</f>
        <v>14</v>
      </c>
      <c r="C23" s="2">
        <f>[1]Sheet1!C17</f>
        <v>2020</v>
      </c>
      <c r="D23" s="2" t="str">
        <f>[1]Sheet1!F17</f>
        <v>Lead Data Analyst</v>
      </c>
      <c r="E23" s="2" t="str">
        <f>[1]Sheet1!Y16</f>
        <v>Mid-Level</v>
      </c>
      <c r="F23" s="2" t="str">
        <f>[1]Sheet1!Q17</f>
        <v>87000 $</v>
      </c>
      <c r="G23" s="3">
        <f>[1]Sheet1!I17</f>
        <v>87000</v>
      </c>
      <c r="H23" s="2" t="str">
        <f>[1]Sheet1!N17</f>
        <v>Full-Time</v>
      </c>
      <c r="I23" s="2" t="str">
        <f>[1]Sheet1!O17</f>
        <v>Large</v>
      </c>
      <c r="J23" s="2" t="str">
        <f>[1]Sheet1!R17</f>
        <v>United States</v>
      </c>
      <c r="K23" s="2" t="str">
        <f>[1]Sheet1!S17</f>
        <v>United States</v>
      </c>
      <c r="L23" s="1"/>
      <c r="M23" s="17" t="str">
        <f>H64</f>
        <v>Freelance</v>
      </c>
      <c r="N23" s="17"/>
      <c r="O23" s="18">
        <f>AVERAGEIF(H10:H523,"freelance",G10:G523)</f>
        <v>48000</v>
      </c>
    </row>
    <row r="24" spans="2:15">
      <c r="B24">
        <f>[1]Sheet1!B18</f>
        <v>15</v>
      </c>
      <c r="C24" s="2">
        <f>[1]Sheet1!C18</f>
        <v>2020</v>
      </c>
      <c r="D24" s="2" t="str">
        <f>[1]Sheet1!F18</f>
        <v>Data Analyst</v>
      </c>
      <c r="E24" s="2" t="str">
        <f>[1]Sheet1!Y17</f>
        <v>Mid-Level</v>
      </c>
      <c r="F24" s="2" t="str">
        <f>[1]Sheet1!Q18</f>
        <v>85000 $</v>
      </c>
      <c r="G24" s="3">
        <f>[1]Sheet1!I18</f>
        <v>85000</v>
      </c>
      <c r="H24" s="2" t="str">
        <f>[1]Sheet1!N18</f>
        <v>Full-Time</v>
      </c>
      <c r="I24" s="2" t="str">
        <f>[1]Sheet1!O18</f>
        <v>Large</v>
      </c>
      <c r="J24" s="2" t="str">
        <f>[1]Sheet1!R18</f>
        <v>United States</v>
      </c>
      <c r="K24" s="2" t="str">
        <f>[1]Sheet1!S18</f>
        <v>United States</v>
      </c>
      <c r="L24" s="1"/>
      <c r="M24" s="17" t="str">
        <f>H55</f>
        <v>Part-Time</v>
      </c>
      <c r="N24" s="17"/>
      <c r="O24" s="18">
        <f>AVERAGEIF(H10:H523,"Part-Time",G10:G523)</f>
        <v>33070.5</v>
      </c>
    </row>
    <row r="25" spans="2:15">
      <c r="B25">
        <f>[1]Sheet1!B19</f>
        <v>16</v>
      </c>
      <c r="C25" s="2">
        <f>[1]Sheet1!C19</f>
        <v>2020</v>
      </c>
      <c r="D25" s="2" t="str">
        <f>[1]Sheet1!F19</f>
        <v>Data Analyst</v>
      </c>
      <c r="E25" s="2" t="str">
        <f>[1]Sheet1!Y18</f>
        <v>Mid-Level</v>
      </c>
      <c r="F25" s="2" t="str">
        <f>[1]Sheet1!Q19</f>
        <v>8000 $</v>
      </c>
      <c r="G25" s="3">
        <f>[1]Sheet1!I19</f>
        <v>8000</v>
      </c>
      <c r="H25" s="2" t="str">
        <f>[1]Sheet1!N19</f>
        <v>Full-Time</v>
      </c>
      <c r="I25" s="2" t="str">
        <f>[1]Sheet1!O19</f>
        <v>Large</v>
      </c>
      <c r="J25" s="2" t="str">
        <f>[1]Sheet1!R19</f>
        <v>Pakistan</v>
      </c>
      <c r="K25" s="2" t="str">
        <f>[1]Sheet1!S19</f>
        <v>Pakistan</v>
      </c>
      <c r="L25" s="1"/>
    </row>
    <row r="26" spans="2:15">
      <c r="B26">
        <f>[1]Sheet1!B20</f>
        <v>17</v>
      </c>
      <c r="C26" s="2">
        <f>[1]Sheet1!C20</f>
        <v>2020</v>
      </c>
      <c r="D26" s="2" t="str">
        <f>[1]Sheet1!F20</f>
        <v>Data Engineer</v>
      </c>
      <c r="E26" s="2" t="str">
        <f>[1]Sheet1!Y19</f>
        <v>Entry-Level</v>
      </c>
      <c r="F26" s="2" t="str">
        <f>[1]Sheet1!Q20</f>
        <v>4450000 ¥</v>
      </c>
      <c r="G26" s="3">
        <f>[1]Sheet1!I20</f>
        <v>41689</v>
      </c>
      <c r="H26" s="2" t="str">
        <f>[1]Sheet1!N20</f>
        <v>Full-Time</v>
      </c>
      <c r="I26" s="2" t="str">
        <f>[1]Sheet1!O20</f>
        <v>Small</v>
      </c>
      <c r="J26" s="2" t="str">
        <f>[1]Sheet1!R20</f>
        <v>Japan</v>
      </c>
      <c r="K26" s="2" t="str">
        <f>[1]Sheet1!S20</f>
        <v>Japan</v>
      </c>
      <c r="L26" s="1"/>
    </row>
    <row r="27" spans="2:15">
      <c r="B27">
        <f>[1]Sheet1!B21</f>
        <v>18</v>
      </c>
      <c r="C27" s="2">
        <f>[1]Sheet1!C21</f>
        <v>2020</v>
      </c>
      <c r="D27" s="2" t="str">
        <f>[1]Sheet1!F21</f>
        <v>Big Data Engineer</v>
      </c>
      <c r="E27" s="2" t="str">
        <f>[1]Sheet1!Y20</f>
        <v>Senior-Level</v>
      </c>
      <c r="F27" s="2" t="str">
        <f>[1]Sheet1!Q21</f>
        <v>100000 €</v>
      </c>
      <c r="G27" s="3">
        <f>[1]Sheet1!I21</f>
        <v>114047</v>
      </c>
      <c r="H27" s="2" t="str">
        <f>[1]Sheet1!N21</f>
        <v>Full-Time</v>
      </c>
      <c r="I27" s="2" t="str">
        <f>[1]Sheet1!O21</f>
        <v>Small</v>
      </c>
      <c r="J27" s="2" t="str">
        <f>[1]Sheet1!R21</f>
        <v>Poland</v>
      </c>
      <c r="K27" s="2" t="str">
        <f>[1]Sheet1!S21</f>
        <v>United Kingdom</v>
      </c>
      <c r="L27" s="1"/>
    </row>
    <row r="28" spans="2:15">
      <c r="B28">
        <f>[1]Sheet1!B22</f>
        <v>19</v>
      </c>
      <c r="C28" s="2">
        <f>[1]Sheet1!C22</f>
        <v>2020</v>
      </c>
      <c r="D28" s="2" t="str">
        <f>[1]Sheet1!F22</f>
        <v>Data Science Consultant</v>
      </c>
      <c r="E28" s="2" t="str">
        <f>[1]Sheet1!Y21</f>
        <v>Entry-Level</v>
      </c>
      <c r="F28" s="2" t="str">
        <f>[1]Sheet1!Q22</f>
        <v>423000 ₹</v>
      </c>
      <c r="G28" s="3">
        <f>[1]Sheet1!I22</f>
        <v>5707</v>
      </c>
      <c r="H28" s="2" t="str">
        <f>[1]Sheet1!N22</f>
        <v>Full-Time</v>
      </c>
      <c r="I28" s="2" t="str">
        <f>[1]Sheet1!O22</f>
        <v>Contract</v>
      </c>
      <c r="J28" s="2" t="str">
        <f>[1]Sheet1!R22</f>
        <v>India</v>
      </c>
      <c r="K28" s="2" t="str">
        <f>[1]Sheet1!S22</f>
        <v>India</v>
      </c>
      <c r="L28" s="1"/>
      <c r="M28" s="6" t="s">
        <v>24</v>
      </c>
      <c r="N28" s="6"/>
      <c r="O28" s="6"/>
    </row>
    <row r="29" spans="2:15">
      <c r="B29">
        <f>[1]Sheet1!B23</f>
        <v>20</v>
      </c>
      <c r="C29" s="2">
        <f>[1]Sheet1!C23</f>
        <v>2020</v>
      </c>
      <c r="D29" s="2" t="str">
        <f>[1]Sheet1!F23</f>
        <v>Lead Data Engineer</v>
      </c>
      <c r="E29" s="2" t="str">
        <f>[1]Sheet1!Y22</f>
        <v>Mid-Level</v>
      </c>
      <c r="F29" s="2" t="str">
        <f>[1]Sheet1!Q23</f>
        <v>56000 $</v>
      </c>
      <c r="G29" s="3">
        <f>[1]Sheet1!I23</f>
        <v>56000</v>
      </c>
      <c r="H29" s="2" t="str">
        <f>[1]Sheet1!N23</f>
        <v>Full-Time</v>
      </c>
      <c r="I29" s="2" t="str">
        <f>[1]Sheet1!O23</f>
        <v>Contract</v>
      </c>
      <c r="J29" s="2" t="str">
        <f>[1]Sheet1!R23</f>
        <v>Portugal</v>
      </c>
      <c r="K29" s="2" t="str">
        <f>[1]Sheet1!S23</f>
        <v>United States</v>
      </c>
      <c r="L29" s="1"/>
      <c r="M29" s="9"/>
      <c r="N29" s="9"/>
      <c r="O29" s="9"/>
    </row>
    <row r="30" spans="2:15">
      <c r="B30">
        <f>[1]Sheet1!B24</f>
        <v>21</v>
      </c>
      <c r="C30" s="2">
        <f>[1]Sheet1!C24</f>
        <v>2020</v>
      </c>
      <c r="D30" s="2" t="str">
        <f>[1]Sheet1!F24</f>
        <v>Machine Learning Engineer</v>
      </c>
      <c r="E30" s="2" t="str">
        <f>[1]Sheet1!Y23</f>
        <v>Mid-Level</v>
      </c>
      <c r="F30" s="2" t="str">
        <f>[1]Sheet1!Q24</f>
        <v>299000 CN¥</v>
      </c>
      <c r="G30" s="3">
        <f>[1]Sheet1!I24</f>
        <v>43331</v>
      </c>
      <c r="H30" s="2" t="str">
        <f>[1]Sheet1!N24</f>
        <v>Full-Time</v>
      </c>
      <c r="I30" s="2" t="str">
        <f>[1]Sheet1!O24</f>
        <v>Contract</v>
      </c>
      <c r="J30" s="2" t="str">
        <f>[1]Sheet1!R24</f>
        <v>China</v>
      </c>
      <c r="K30" s="2" t="str">
        <f>[1]Sheet1!S24</f>
        <v>China</v>
      </c>
      <c r="L30" s="1"/>
      <c r="M30" s="8" t="s">
        <v>23</v>
      </c>
      <c r="N30" s="7"/>
      <c r="O30" s="7" t="s">
        <v>22</v>
      </c>
    </row>
    <row r="31" spans="2:15">
      <c r="B31">
        <f>[1]Sheet1!B25</f>
        <v>22</v>
      </c>
      <c r="C31" s="2">
        <f>[1]Sheet1!C25</f>
        <v>2020</v>
      </c>
      <c r="D31" s="2" t="str">
        <f>[1]Sheet1!F25</f>
        <v>Product Data Analyst</v>
      </c>
      <c r="E31" s="2" t="str">
        <f>[1]Sheet1!Y24</f>
        <v>Mid-Level</v>
      </c>
      <c r="F31" s="2" t="str">
        <f>[1]Sheet1!Q25</f>
        <v>450000 ₹</v>
      </c>
      <c r="G31" s="3">
        <f>[1]Sheet1!I25</f>
        <v>6072</v>
      </c>
      <c r="H31" s="2" t="str">
        <f>[1]Sheet1!N25</f>
        <v>Full-Time</v>
      </c>
      <c r="I31" s="2" t="str">
        <f>[1]Sheet1!O25</f>
        <v>Large</v>
      </c>
      <c r="J31" s="2" t="str">
        <f>[1]Sheet1!R25</f>
        <v>India</v>
      </c>
      <c r="K31" s="2" t="str">
        <f>[1]Sheet1!S25</f>
        <v>India</v>
      </c>
      <c r="L31" s="1"/>
    </row>
    <row r="32" spans="2:15">
      <c r="B32">
        <f>[1]Sheet1!B26</f>
        <v>23</v>
      </c>
      <c r="C32" s="2">
        <f>[1]Sheet1!C26</f>
        <v>2020</v>
      </c>
      <c r="D32" s="2" t="str">
        <f>[1]Sheet1!F26</f>
        <v>Data Engineer</v>
      </c>
      <c r="E32" s="2" t="str">
        <f>[1]Sheet1!Y25</f>
        <v>Senior-Level</v>
      </c>
      <c r="F32" s="2" t="str">
        <f>[1]Sheet1!Q26</f>
        <v>42000 €</v>
      </c>
      <c r="G32" s="3">
        <f>[1]Sheet1!I26</f>
        <v>47899</v>
      </c>
      <c r="H32" s="2" t="str">
        <f>[1]Sheet1!N26</f>
        <v>Full-Time</v>
      </c>
      <c r="I32" s="2" t="str">
        <f>[1]Sheet1!O26</f>
        <v>Large</v>
      </c>
      <c r="J32" s="2" t="str">
        <f>[1]Sheet1!R26</f>
        <v>Greece</v>
      </c>
      <c r="K32" s="2" t="str">
        <f>[1]Sheet1!S26</f>
        <v>Greece</v>
      </c>
      <c r="L32" s="1"/>
      <c r="M32" s="17" t="s">
        <v>21</v>
      </c>
      <c r="N32" s="17"/>
      <c r="O32" s="18">
        <f>AVERAGEIF(D10:D523,"Data Scientist",G10:G523)</f>
        <v>97518.32432432432</v>
      </c>
    </row>
    <row r="33" spans="2:18">
      <c r="B33">
        <f>[1]Sheet1!B27</f>
        <v>24</v>
      </c>
      <c r="C33" s="2">
        <f>[1]Sheet1!C27</f>
        <v>2020</v>
      </c>
      <c r="D33" s="2" t="str">
        <f>[1]Sheet1!F27</f>
        <v>BI Data Analyst</v>
      </c>
      <c r="E33" s="2" t="str">
        <f>[1]Sheet1!Y26</f>
        <v>Mid-Level</v>
      </c>
      <c r="F33" s="2" t="str">
        <f>[1]Sheet1!Q27</f>
        <v>98000 $</v>
      </c>
      <c r="G33" s="3">
        <f>[1]Sheet1!I27</f>
        <v>98000</v>
      </c>
      <c r="H33" s="2" t="str">
        <f>[1]Sheet1!N27</f>
        <v>Full-Time</v>
      </c>
      <c r="I33" s="2" t="str">
        <f>[1]Sheet1!O27</f>
        <v>Contract</v>
      </c>
      <c r="J33" s="2" t="str">
        <f>[1]Sheet1!R27</f>
        <v>United States</v>
      </c>
      <c r="K33" s="2" t="str">
        <f>[1]Sheet1!S27</f>
        <v>United States</v>
      </c>
      <c r="L33" s="1"/>
      <c r="M33" s="17" t="s">
        <v>20</v>
      </c>
      <c r="N33" s="17"/>
      <c r="O33" s="18">
        <f>AVERAGEIF(D10:D523,"Machine Learning Developer",G10:G523)</f>
        <v>89395.5</v>
      </c>
    </row>
    <row r="34" spans="2:18">
      <c r="B34">
        <f>[1]Sheet1!B28</f>
        <v>25</v>
      </c>
      <c r="C34" s="2">
        <f>[1]Sheet1!C28</f>
        <v>2020</v>
      </c>
      <c r="D34" s="2" t="str">
        <f>[1]Sheet1!F28</f>
        <v>Lead Data Scientist</v>
      </c>
      <c r="E34" s="2" t="str">
        <f>[1]Sheet1!Y27</f>
        <v>Mid-Level</v>
      </c>
      <c r="F34" s="2" t="str">
        <f>[1]Sheet1!Q28</f>
        <v>115000 $</v>
      </c>
      <c r="G34" s="3">
        <f>[1]Sheet1!I28</f>
        <v>115000</v>
      </c>
      <c r="H34" s="2" t="str">
        <f>[1]Sheet1!N28</f>
        <v>Full-Time</v>
      </c>
      <c r="I34" s="2" t="str">
        <f>[1]Sheet1!O28</f>
        <v>Large</v>
      </c>
      <c r="J34" s="2" t="str">
        <f>[1]Sheet1!R28</f>
        <v>United Arab Emirates</v>
      </c>
      <c r="K34" s="2" t="str">
        <f>[1]Sheet1!S28</f>
        <v>United Arab Emirates</v>
      </c>
      <c r="L34" s="1"/>
      <c r="M34" s="17" t="s">
        <v>19</v>
      </c>
      <c r="N34" s="17"/>
      <c r="O34" s="18">
        <f>AVERAGEIF(D10:D523,"Data Engineering Manager",G10:G523)</f>
        <v>123227.2</v>
      </c>
    </row>
    <row r="35" spans="2:18">
      <c r="B35">
        <f>[1]Sheet1!B29</f>
        <v>26</v>
      </c>
      <c r="C35" s="2">
        <f>[1]Sheet1!C29</f>
        <v>2020</v>
      </c>
      <c r="D35" s="2" t="str">
        <f>[1]Sheet1!F29</f>
        <v>Director of Data Science</v>
      </c>
      <c r="E35" s="2" t="str">
        <f>[1]Sheet1!Y28</f>
        <v>Executive</v>
      </c>
      <c r="F35" s="2" t="str">
        <f>[1]Sheet1!Q29</f>
        <v>325000 $</v>
      </c>
      <c r="G35" s="3">
        <f>[1]Sheet1!I29</f>
        <v>325000</v>
      </c>
      <c r="H35" s="2" t="str">
        <f>[1]Sheet1!N29</f>
        <v>Full-Time</v>
      </c>
      <c r="I35" s="2" t="str">
        <f>[1]Sheet1!O29</f>
        <v>Large</v>
      </c>
      <c r="J35" s="2" t="str">
        <f>[1]Sheet1!R29</f>
        <v>United States</v>
      </c>
      <c r="K35" s="2" t="str">
        <f>[1]Sheet1!S29</f>
        <v>United States</v>
      </c>
      <c r="L35" s="1"/>
      <c r="M35" s="17" t="s">
        <v>18</v>
      </c>
      <c r="N35" s="17"/>
      <c r="O35" s="18">
        <f>AVERAGEIF(D10:D523,"Financial Data Analyst",G10:G523)</f>
        <v>275000</v>
      </c>
    </row>
    <row r="36" spans="2:18">
      <c r="B36">
        <f>[1]Sheet1!B30</f>
        <v>27</v>
      </c>
      <c r="C36" s="2">
        <f>[1]Sheet1!C30</f>
        <v>2020</v>
      </c>
      <c r="D36" s="2" t="str">
        <f>[1]Sheet1!F30</f>
        <v>Research Scientist</v>
      </c>
      <c r="E36" s="2" t="str">
        <f>[1]Sheet1!Y29</f>
        <v>Entry-Level</v>
      </c>
      <c r="F36" s="2" t="str">
        <f>[1]Sheet1!Q30</f>
        <v>42000 $</v>
      </c>
      <c r="G36" s="3">
        <f>[1]Sheet1!I30</f>
        <v>42000</v>
      </c>
      <c r="H36" s="2" t="str">
        <f>[1]Sheet1!N30</f>
        <v>Full-Time</v>
      </c>
      <c r="I36" s="2" t="str">
        <f>[1]Sheet1!O30</f>
        <v>Large</v>
      </c>
      <c r="J36" s="2" t="str">
        <f>[1]Sheet1!R30</f>
        <v>Netherlands</v>
      </c>
      <c r="K36" s="2" t="str">
        <f>[1]Sheet1!S30</f>
        <v>Netherlands</v>
      </c>
      <c r="L36" s="1"/>
      <c r="M36" s="17" t="s">
        <v>17</v>
      </c>
      <c r="N36" s="17"/>
      <c r="O36" s="18">
        <f>AVERAGEIF(D10:D523,"Research Scientist",G10:G523)</f>
        <v>109019.5</v>
      </c>
    </row>
    <row r="37" spans="2:18">
      <c r="B37">
        <f>[1]Sheet1!B31</f>
        <v>28</v>
      </c>
      <c r="C37" s="2">
        <f>[1]Sheet1!C31</f>
        <v>2020</v>
      </c>
      <c r="D37" s="2" t="str">
        <f>[1]Sheet1!F31</f>
        <v>Data Engineer</v>
      </c>
      <c r="E37" s="2" t="str">
        <f>[1]Sheet1!Y30</f>
        <v>Senior-Level</v>
      </c>
      <c r="F37" s="2" t="str">
        <f>[1]Sheet1!Q31</f>
        <v>720000 Mex$</v>
      </c>
      <c r="G37" s="3">
        <f>[1]Sheet1!I31</f>
        <v>33511</v>
      </c>
      <c r="H37" s="2" t="str">
        <f>[1]Sheet1!N31</f>
        <v>Full-Time</v>
      </c>
      <c r="I37" s="2" t="str">
        <f>[1]Sheet1!O31</f>
        <v>Small</v>
      </c>
      <c r="J37" s="2" t="str">
        <f>[1]Sheet1!R31</f>
        <v>Mexico</v>
      </c>
      <c r="K37" s="2" t="str">
        <f>[1]Sheet1!S31</f>
        <v>Mexico</v>
      </c>
      <c r="L37" s="1"/>
      <c r="M37" s="17" t="s">
        <v>16</v>
      </c>
      <c r="N37" s="17"/>
      <c r="O37" s="18">
        <f>AVERAGEIF(D10:D523,"Director of Data Science",G10:G523)</f>
        <v>195074</v>
      </c>
    </row>
    <row r="38" spans="2:18">
      <c r="B38">
        <f>[1]Sheet1!B32</f>
        <v>29</v>
      </c>
      <c r="C38" s="2">
        <f>[1]Sheet1!C32</f>
        <v>2020</v>
      </c>
      <c r="D38" s="2" t="str">
        <f>[1]Sheet1!F32</f>
        <v>Business Data Analyst</v>
      </c>
      <c r="E38" s="2" t="str">
        <f>[1]Sheet1!Y31</f>
        <v>Entry-Level</v>
      </c>
      <c r="F38" s="2" t="str">
        <f>[1]Sheet1!Q32</f>
        <v>100000 $</v>
      </c>
      <c r="G38" s="3">
        <f>[1]Sheet1!I32</f>
        <v>100000</v>
      </c>
      <c r="H38" s="2" t="str">
        <f>[1]Sheet1!N32</f>
        <v>Contract</v>
      </c>
      <c r="I38" s="2" t="str">
        <f>[1]Sheet1!O32</f>
        <v>Large</v>
      </c>
      <c r="J38" s="2" t="str">
        <f>[1]Sheet1!R32</f>
        <v>United States</v>
      </c>
      <c r="K38" s="2" t="str">
        <f>[1]Sheet1!S32</f>
        <v>United States</v>
      </c>
      <c r="L38" s="1"/>
      <c r="M38" s="17" t="s">
        <v>15</v>
      </c>
      <c r="N38" s="17"/>
      <c r="O38" s="18">
        <f>AVERAGEIF(D10:D523,"Big Data Architect",G10:G523)</f>
        <v>99703</v>
      </c>
    </row>
    <row r="39" spans="2:18">
      <c r="B39">
        <f>[1]Sheet1!B33</f>
        <v>30</v>
      </c>
      <c r="C39" s="2">
        <f>[1]Sheet1!C33</f>
        <v>2020</v>
      </c>
      <c r="D39" s="2" t="str">
        <f>[1]Sheet1!F33</f>
        <v>Machine Learning Manager</v>
      </c>
      <c r="E39" s="2" t="str">
        <f>[1]Sheet1!Y32</f>
        <v>Senior-Level</v>
      </c>
      <c r="F39" s="2" t="str">
        <f>[1]Sheet1!Q33</f>
        <v>157000 C$</v>
      </c>
      <c r="G39" s="3">
        <f>[1]Sheet1!I33</f>
        <v>117104</v>
      </c>
      <c r="H39" s="2" t="str">
        <f>[1]Sheet1!N33</f>
        <v>Full-Time</v>
      </c>
      <c r="I39" s="2" t="str">
        <f>[1]Sheet1!O33</f>
        <v>Large</v>
      </c>
      <c r="J39" s="2" t="str">
        <f>[1]Sheet1!R33</f>
        <v>Canada</v>
      </c>
      <c r="K39" s="2" t="str">
        <f>[1]Sheet1!S33</f>
        <v>Canada</v>
      </c>
      <c r="L39" s="1"/>
      <c r="M39" s="17" t="s">
        <v>14</v>
      </c>
      <c r="N39" s="17"/>
      <c r="O39" s="18">
        <f>AVERAGEIF(D10:D523,"Data Science Consultant",G10:G523)</f>
        <v>68185.333333333328</v>
      </c>
    </row>
    <row r="40" spans="2:18">
      <c r="B40">
        <f>[1]Sheet1!B34</f>
        <v>31</v>
      </c>
      <c r="C40" s="2">
        <f>[1]Sheet1!C34</f>
        <v>2020</v>
      </c>
      <c r="D40" s="2" t="str">
        <f>[1]Sheet1!F34</f>
        <v>Data Engineering Manager</v>
      </c>
      <c r="E40" s="2" t="str">
        <f>[1]Sheet1!Y33</f>
        <v>Mid-Level</v>
      </c>
      <c r="F40" s="2" t="str">
        <f>[1]Sheet1!Q34</f>
        <v>51999 €</v>
      </c>
      <c r="G40" s="3">
        <f>[1]Sheet1!I34</f>
        <v>59303</v>
      </c>
      <c r="H40" s="2" t="str">
        <f>[1]Sheet1!N34</f>
        <v>Full-Time</v>
      </c>
      <c r="I40" s="2" t="str">
        <f>[1]Sheet1!O34</f>
        <v>Small</v>
      </c>
      <c r="J40" s="2" t="str">
        <f>[1]Sheet1!R34</f>
        <v>Germany</v>
      </c>
      <c r="K40" s="2" t="str">
        <f>[1]Sheet1!S34</f>
        <v>Germany</v>
      </c>
      <c r="L40" s="1"/>
    </row>
    <row r="41" spans="2:18">
      <c r="B41">
        <f>[1]Sheet1!B35</f>
        <v>32</v>
      </c>
      <c r="C41" s="2">
        <f>[1]Sheet1!C35</f>
        <v>2020</v>
      </c>
      <c r="D41" s="2" t="str">
        <f>[1]Sheet1!F35</f>
        <v>Big Data Engineer</v>
      </c>
      <c r="E41" s="2" t="str">
        <f>[1]Sheet1!Y34</f>
        <v>Entry-Level</v>
      </c>
      <c r="F41" s="2" t="str">
        <f>[1]Sheet1!Q35</f>
        <v>70000 $</v>
      </c>
      <c r="G41" s="3">
        <f>[1]Sheet1!I35</f>
        <v>70000</v>
      </c>
      <c r="H41" s="2" t="str">
        <f>[1]Sheet1!N35</f>
        <v>Full-Time</v>
      </c>
      <c r="I41" s="2" t="str">
        <f>[1]Sheet1!O35</f>
        <v>Large</v>
      </c>
      <c r="J41" s="2" t="str">
        <f>[1]Sheet1!R35</f>
        <v>United States</v>
      </c>
      <c r="K41" s="2" t="str">
        <f>[1]Sheet1!S35</f>
        <v>United States</v>
      </c>
      <c r="L41" s="1"/>
    </row>
    <row r="42" spans="2:18">
      <c r="B42">
        <f>[1]Sheet1!B36</f>
        <v>33</v>
      </c>
      <c r="C42" s="2">
        <f>[1]Sheet1!C36</f>
        <v>2020</v>
      </c>
      <c r="D42" s="2" t="str">
        <f>[1]Sheet1!F36</f>
        <v>Data Scientist</v>
      </c>
      <c r="E42" s="2" t="str">
        <f>[1]Sheet1!Y35</f>
        <v>Senior-Level</v>
      </c>
      <c r="F42" s="2" t="str">
        <f>[1]Sheet1!Q36</f>
        <v>60000 €</v>
      </c>
      <c r="G42" s="3">
        <f>[1]Sheet1!I36</f>
        <v>68428</v>
      </c>
      <c r="H42" s="2" t="str">
        <f>[1]Sheet1!N36</f>
        <v>Full-Time</v>
      </c>
      <c r="I42" s="2" t="str">
        <f>[1]Sheet1!O36</f>
        <v>Large</v>
      </c>
      <c r="J42" s="2" t="str">
        <f>[1]Sheet1!R36</f>
        <v>Greece</v>
      </c>
      <c r="K42" s="2" t="str">
        <f>[1]Sheet1!S36</f>
        <v>United States</v>
      </c>
      <c r="L42" s="1"/>
      <c r="M42" s="6" t="s">
        <v>13</v>
      </c>
      <c r="N42" s="6"/>
      <c r="O42" s="6"/>
      <c r="P42" s="6"/>
      <c r="Q42" s="6"/>
      <c r="R42" s="6"/>
    </row>
    <row r="43" spans="2:18">
      <c r="B43">
        <f>[1]Sheet1!B37</f>
        <v>34</v>
      </c>
      <c r="C43" s="2">
        <f>[1]Sheet1!C37</f>
        <v>2020</v>
      </c>
      <c r="D43" s="2" t="str">
        <f>[1]Sheet1!F37</f>
        <v>Research Scientist</v>
      </c>
      <c r="E43" s="2" t="str">
        <f>[1]Sheet1!Y36</f>
        <v>Mid-Level</v>
      </c>
      <c r="F43" s="2" t="str">
        <f>[1]Sheet1!Q37</f>
        <v>450000 $</v>
      </c>
      <c r="G43" s="3">
        <f>[1]Sheet1!I37</f>
        <v>450000</v>
      </c>
      <c r="H43" s="2" t="str">
        <f>[1]Sheet1!N37</f>
        <v>Full-Time</v>
      </c>
      <c r="I43" s="2" t="str">
        <f>[1]Sheet1!O37</f>
        <v>Contract</v>
      </c>
      <c r="J43" s="2" t="str">
        <f>[1]Sheet1!R37</f>
        <v>United States</v>
      </c>
      <c r="K43" s="2" t="str">
        <f>[1]Sheet1!S37</f>
        <v>United States</v>
      </c>
      <c r="L43" s="1"/>
    </row>
    <row r="44" spans="2:18">
      <c r="B44">
        <f>[1]Sheet1!B38</f>
        <v>35</v>
      </c>
      <c r="C44" s="2">
        <f>[1]Sheet1!C38</f>
        <v>2020</v>
      </c>
      <c r="D44" s="2" t="str">
        <f>[1]Sheet1!F38</f>
        <v>Data Analyst</v>
      </c>
      <c r="E44" s="2" t="str">
        <f>[1]Sheet1!Y37</f>
        <v>Mid-Level</v>
      </c>
      <c r="F44" s="2" t="str">
        <f>[1]Sheet1!Q38</f>
        <v>41000 €</v>
      </c>
      <c r="G44" s="3">
        <f>[1]Sheet1!I38</f>
        <v>46759</v>
      </c>
      <c r="H44" s="2" t="str">
        <f>[1]Sheet1!N38</f>
        <v>Full-Time</v>
      </c>
      <c r="I44" s="2" t="str">
        <f>[1]Sheet1!O38</f>
        <v>Large</v>
      </c>
      <c r="J44" s="2" t="str">
        <f>[1]Sheet1!R38</f>
        <v>France</v>
      </c>
      <c r="K44" s="2" t="str">
        <f>[1]Sheet1!S38</f>
        <v>France</v>
      </c>
      <c r="L44" s="1"/>
      <c r="M44" s="5" t="s">
        <v>12</v>
      </c>
      <c r="N44" s="4"/>
      <c r="O44" s="4" t="s">
        <v>11</v>
      </c>
      <c r="P44" s="4" t="str">
        <f>H8</f>
        <v>Employement Type</v>
      </c>
      <c r="Q44" s="4" t="str">
        <f>I8</f>
        <v>Company Size</v>
      </c>
      <c r="R44" s="4" t="s">
        <v>10</v>
      </c>
    </row>
    <row r="45" spans="2:18">
      <c r="B45">
        <f>[1]Sheet1!B39</f>
        <v>36</v>
      </c>
      <c r="C45" s="2">
        <f>[1]Sheet1!C39</f>
        <v>2020</v>
      </c>
      <c r="D45" s="2" t="str">
        <f>[1]Sheet1!F39</f>
        <v>Data Engineer</v>
      </c>
      <c r="E45" s="2" t="str">
        <f>[1]Sheet1!Y38</f>
        <v>Mid-Level</v>
      </c>
      <c r="F45" s="2" t="str">
        <f>[1]Sheet1!Q39</f>
        <v>65000 €</v>
      </c>
      <c r="G45" s="3">
        <f>[1]Sheet1!I39</f>
        <v>74130</v>
      </c>
      <c r="H45" s="2" t="str">
        <f>[1]Sheet1!N39</f>
        <v>Full-Time</v>
      </c>
      <c r="I45" s="2" t="str">
        <f>[1]Sheet1!O39</f>
        <v>Large</v>
      </c>
      <c r="J45" s="2" t="str">
        <f>[1]Sheet1!R39</f>
        <v>Austria</v>
      </c>
      <c r="K45" s="2" t="str">
        <f>[1]Sheet1!S39</f>
        <v>Austria</v>
      </c>
      <c r="L45" s="1"/>
      <c r="P45" s="2"/>
      <c r="Q45" s="2"/>
    </row>
    <row r="46" spans="2:18">
      <c r="B46">
        <f>[1]Sheet1!B40</f>
        <v>37</v>
      </c>
      <c r="C46" s="2">
        <f>[1]Sheet1!C40</f>
        <v>2020</v>
      </c>
      <c r="D46" s="2" t="str">
        <f>[1]Sheet1!F40</f>
        <v>Data Science Consultant</v>
      </c>
      <c r="E46" s="2" t="str">
        <f>[1]Sheet1!Y39</f>
        <v>Mid-Level</v>
      </c>
      <c r="F46" s="2" t="str">
        <f>[1]Sheet1!Q40</f>
        <v>103000 $</v>
      </c>
      <c r="G46" s="3">
        <f>[1]Sheet1!I40</f>
        <v>103000</v>
      </c>
      <c r="H46" s="2" t="str">
        <f>[1]Sheet1!N40</f>
        <v>Full-Time</v>
      </c>
      <c r="I46" s="2" t="str">
        <f>[1]Sheet1!O40</f>
        <v>Large</v>
      </c>
      <c r="J46" s="2" t="str">
        <f>[1]Sheet1!R40</f>
        <v>United States</v>
      </c>
      <c r="K46" s="2" t="str">
        <f>[1]Sheet1!S40</f>
        <v>United States</v>
      </c>
      <c r="L46" s="1"/>
      <c r="M46" s="19" t="s">
        <v>9</v>
      </c>
      <c r="N46" s="17"/>
      <c r="O46" s="18">
        <v>600000</v>
      </c>
      <c r="P46" s="20" t="s">
        <v>5</v>
      </c>
      <c r="Q46" s="20" t="s">
        <v>4</v>
      </c>
      <c r="R46" s="20" t="s">
        <v>0</v>
      </c>
    </row>
    <row r="47" spans="2:18">
      <c r="B47">
        <f>[1]Sheet1!B41</f>
        <v>38</v>
      </c>
      <c r="C47" s="2">
        <f>[1]Sheet1!C41</f>
        <v>2020</v>
      </c>
      <c r="D47" s="2" t="str">
        <f>[1]Sheet1!F41</f>
        <v>Machine Learning Engineer</v>
      </c>
      <c r="E47" s="2" t="str">
        <f>[1]Sheet1!Y40</f>
        <v>Entry-Level</v>
      </c>
      <c r="F47" s="2" t="str">
        <f>[1]Sheet1!Q41</f>
        <v>250000 $</v>
      </c>
      <c r="G47" s="3">
        <f>[1]Sheet1!I41</f>
        <v>250000</v>
      </c>
      <c r="H47" s="2" t="str">
        <f>[1]Sheet1!N41</f>
        <v>Full-Time</v>
      </c>
      <c r="I47" s="2" t="str">
        <f>[1]Sheet1!O41</f>
        <v>Large</v>
      </c>
      <c r="J47" s="2" t="str">
        <f>[1]Sheet1!R41</f>
        <v>United States</v>
      </c>
      <c r="K47" s="2" t="str">
        <f>[1]Sheet1!S41</f>
        <v>United States</v>
      </c>
      <c r="L47" s="1"/>
      <c r="M47" s="19" t="s">
        <v>8</v>
      </c>
      <c r="N47" s="17"/>
      <c r="O47" s="18">
        <v>450000</v>
      </c>
      <c r="P47" s="20" t="s">
        <v>5</v>
      </c>
      <c r="Q47" s="20" t="s">
        <v>2</v>
      </c>
      <c r="R47" s="20" t="s">
        <v>0</v>
      </c>
    </row>
    <row r="48" spans="2:18">
      <c r="B48">
        <f>[1]Sheet1!B42</f>
        <v>39</v>
      </c>
      <c r="C48" s="2">
        <f>[1]Sheet1!C42</f>
        <v>2020</v>
      </c>
      <c r="D48" s="2" t="str">
        <f>[1]Sheet1!F42</f>
        <v>Data Analyst</v>
      </c>
      <c r="E48" s="2" t="str">
        <f>[1]Sheet1!Y41</f>
        <v>Entry-Level</v>
      </c>
      <c r="F48" s="2" t="str">
        <f>[1]Sheet1!Q42</f>
        <v>10000 $</v>
      </c>
      <c r="G48" s="3">
        <f>[1]Sheet1!I42</f>
        <v>10000</v>
      </c>
      <c r="H48" s="2" t="str">
        <f>[1]Sheet1!N42</f>
        <v>Full-Time</v>
      </c>
      <c r="I48" s="2" t="str">
        <f>[1]Sheet1!O42</f>
        <v>Small</v>
      </c>
      <c r="J48" s="2" t="str">
        <f>[1]Sheet1!R42</f>
        <v>Nigeria</v>
      </c>
      <c r="K48" s="2" t="str">
        <f>[1]Sheet1!S42</f>
        <v>Nigeria</v>
      </c>
      <c r="L48" s="1"/>
      <c r="M48" s="19" t="s">
        <v>7</v>
      </c>
      <c r="N48" s="17"/>
      <c r="O48" s="18">
        <v>450000</v>
      </c>
      <c r="P48" s="20" t="s">
        <v>5</v>
      </c>
      <c r="Q48" s="20" t="s">
        <v>4</v>
      </c>
      <c r="R48" s="20" t="s">
        <v>0</v>
      </c>
    </row>
    <row r="49" spans="2:18">
      <c r="B49">
        <f>[1]Sheet1!B43</f>
        <v>40</v>
      </c>
      <c r="C49" s="2">
        <f>[1]Sheet1!C43</f>
        <v>2020</v>
      </c>
      <c r="D49" s="2" t="str">
        <f>[1]Sheet1!F43</f>
        <v>Machine Learning Engineer</v>
      </c>
      <c r="E49" s="2" t="str">
        <f>[1]Sheet1!Y42</f>
        <v>Entry-Level</v>
      </c>
      <c r="F49" s="2" t="str">
        <f>[1]Sheet1!Q43</f>
        <v>138000 $</v>
      </c>
      <c r="G49" s="3">
        <f>[1]Sheet1!I43</f>
        <v>138000</v>
      </c>
      <c r="H49" s="2" t="str">
        <f>[1]Sheet1!N43</f>
        <v>Full-Time</v>
      </c>
      <c r="I49" s="2" t="str">
        <f>[1]Sheet1!O43</f>
        <v>Small</v>
      </c>
      <c r="J49" s="2" t="str">
        <f>[1]Sheet1!R43</f>
        <v>United States</v>
      </c>
      <c r="K49" s="2" t="str">
        <f>[1]Sheet1!S43</f>
        <v>United States</v>
      </c>
      <c r="L49" s="1"/>
      <c r="M49" s="19" t="s">
        <v>6</v>
      </c>
      <c r="N49" s="17"/>
      <c r="O49" s="18">
        <v>423000</v>
      </c>
      <c r="P49" s="20" t="s">
        <v>5</v>
      </c>
      <c r="Q49" s="20" t="s">
        <v>4</v>
      </c>
      <c r="R49" s="20" t="s">
        <v>0</v>
      </c>
    </row>
    <row r="50" spans="2:18">
      <c r="B50">
        <f>[1]Sheet1!B44</f>
        <v>41</v>
      </c>
      <c r="C50" s="2">
        <f>[1]Sheet1!C44</f>
        <v>2020</v>
      </c>
      <c r="D50" s="2" t="str">
        <f>[1]Sheet1!F44</f>
        <v>Data Scientist</v>
      </c>
      <c r="E50" s="2" t="str">
        <f>[1]Sheet1!Y43</f>
        <v>Mid-Level</v>
      </c>
      <c r="F50" s="2" t="str">
        <f>[1]Sheet1!Q44</f>
        <v>45760 $</v>
      </c>
      <c r="G50" s="3">
        <f>[1]Sheet1!I44</f>
        <v>45760</v>
      </c>
      <c r="H50" s="2" t="str">
        <f>[1]Sheet1!N44</f>
        <v>Full-Time</v>
      </c>
      <c r="I50" s="2" t="str">
        <f>[1]Sheet1!O44</f>
        <v>Small</v>
      </c>
      <c r="J50" s="2" t="str">
        <f>[1]Sheet1!R44</f>
        <v>Philippines</v>
      </c>
      <c r="K50" s="2" t="str">
        <f>[1]Sheet1!S44</f>
        <v>United States</v>
      </c>
      <c r="L50" s="1"/>
      <c r="M50" s="19" t="s">
        <v>3</v>
      </c>
      <c r="N50" s="17"/>
      <c r="O50" s="18">
        <v>416000</v>
      </c>
      <c r="P50" s="20" t="s">
        <v>2</v>
      </c>
      <c r="Q50" s="20" t="s">
        <v>1</v>
      </c>
      <c r="R50" s="20" t="s">
        <v>0</v>
      </c>
    </row>
    <row r="51" spans="2:18">
      <c r="B51">
        <f>[1]Sheet1!B45</f>
        <v>42</v>
      </c>
      <c r="C51" s="2">
        <f>[1]Sheet1!C45</f>
        <v>2020</v>
      </c>
      <c r="D51" s="2" t="str">
        <f>[1]Sheet1!F45</f>
        <v>Data Engineering Manager</v>
      </c>
      <c r="E51" s="2" t="str">
        <f>[1]Sheet1!Y44</f>
        <v>Executive</v>
      </c>
      <c r="F51" s="2" t="str">
        <f>[1]Sheet1!Q45</f>
        <v>70000 €</v>
      </c>
      <c r="G51" s="3">
        <f>[1]Sheet1!I45</f>
        <v>79833</v>
      </c>
      <c r="H51" s="2" t="str">
        <f>[1]Sheet1!N45</f>
        <v>Full-Time</v>
      </c>
      <c r="I51" s="2" t="str">
        <f>[1]Sheet1!O45</f>
        <v>Large</v>
      </c>
      <c r="J51" s="2" t="str">
        <f>[1]Sheet1!R45</f>
        <v>Spain</v>
      </c>
      <c r="K51" s="2" t="str">
        <f>[1]Sheet1!S45</f>
        <v>Spain</v>
      </c>
      <c r="L51" s="1"/>
    </row>
    <row r="52" spans="2:18">
      <c r="B52">
        <f>[1]Sheet1!B46</f>
        <v>43</v>
      </c>
      <c r="C52" s="2">
        <f>[1]Sheet1!C46</f>
        <v>2020</v>
      </c>
      <c r="D52" s="2" t="str">
        <f>[1]Sheet1!F46</f>
        <v>Machine Learning Infrastructure Engineer</v>
      </c>
      <c r="E52" s="2" t="str">
        <f>[1]Sheet1!Y45</f>
        <v>Mid-Level</v>
      </c>
      <c r="F52" s="2" t="str">
        <f>[1]Sheet1!Q46</f>
        <v>44000 €</v>
      </c>
      <c r="G52" s="3">
        <f>[1]Sheet1!I46</f>
        <v>50180</v>
      </c>
      <c r="H52" s="2" t="str">
        <f>[1]Sheet1!N46</f>
        <v>Full-Time</v>
      </c>
      <c r="I52" s="2" t="str">
        <f>[1]Sheet1!O46</f>
        <v>Contract</v>
      </c>
      <c r="J52" s="2" t="str">
        <f>[1]Sheet1!R46</f>
        <v>Portugal</v>
      </c>
      <c r="K52" s="2" t="str">
        <f>[1]Sheet1!S46</f>
        <v>Portugal</v>
      </c>
      <c r="L52" s="1"/>
    </row>
    <row r="53" spans="2:18">
      <c r="B53">
        <f>[1]Sheet1!B47</f>
        <v>44</v>
      </c>
      <c r="C53" s="2">
        <f>[1]Sheet1!C47</f>
        <v>2020</v>
      </c>
      <c r="D53" s="2" t="str">
        <f>[1]Sheet1!F47</f>
        <v>Data Engineer</v>
      </c>
      <c r="E53" s="2" t="str">
        <f>[1]Sheet1!Y46</f>
        <v>Mid-Level</v>
      </c>
      <c r="F53" s="2" t="str">
        <f>[1]Sheet1!Q47</f>
        <v>106000 $</v>
      </c>
      <c r="G53" s="3">
        <f>[1]Sheet1!I47</f>
        <v>106000</v>
      </c>
      <c r="H53" s="2" t="str">
        <f>[1]Sheet1!N47</f>
        <v>Full-Time</v>
      </c>
      <c r="I53" s="2" t="str">
        <f>[1]Sheet1!O47</f>
        <v>Large</v>
      </c>
      <c r="J53" s="2" t="str">
        <f>[1]Sheet1!R47</f>
        <v>United States</v>
      </c>
      <c r="K53" s="2" t="str">
        <f>[1]Sheet1!S47</f>
        <v>United States</v>
      </c>
      <c r="L53" s="1"/>
    </row>
    <row r="54" spans="2:18">
      <c r="B54">
        <f>[1]Sheet1!B48</f>
        <v>45</v>
      </c>
      <c r="C54" s="2">
        <f>[1]Sheet1!C48</f>
        <v>2020</v>
      </c>
      <c r="D54" s="2" t="str">
        <f>[1]Sheet1!F48</f>
        <v>Data Engineer</v>
      </c>
      <c r="E54" s="2" t="str">
        <f>[1]Sheet1!Y47</f>
        <v>Mid-Level</v>
      </c>
      <c r="F54" s="2" t="str">
        <f>[1]Sheet1!Q48</f>
        <v>88000 £</v>
      </c>
      <c r="G54" s="3">
        <f>[1]Sheet1!I48</f>
        <v>112872</v>
      </c>
      <c r="H54" s="2" t="str">
        <f>[1]Sheet1!N48</f>
        <v>Full-Time</v>
      </c>
      <c r="I54" s="2" t="str">
        <f>[1]Sheet1!O48</f>
        <v>Large</v>
      </c>
      <c r="J54" s="2" t="str">
        <f>[1]Sheet1!R48</f>
        <v>United Kingdom</v>
      </c>
      <c r="K54" s="2" t="str">
        <f>[1]Sheet1!S48</f>
        <v>United Kingdom</v>
      </c>
      <c r="L54" s="1"/>
    </row>
    <row r="55" spans="2:18">
      <c r="B55">
        <f>[1]Sheet1!B49</f>
        <v>46</v>
      </c>
      <c r="C55" s="2">
        <f>[1]Sheet1!C49</f>
        <v>2020</v>
      </c>
      <c r="D55" s="2" t="str">
        <f>[1]Sheet1!F49</f>
        <v>ML Engineer</v>
      </c>
      <c r="E55" s="2" t="str">
        <f>[1]Sheet1!Y48</f>
        <v>Entry-Level</v>
      </c>
      <c r="F55" s="2" t="str">
        <f>[1]Sheet1!Q49</f>
        <v>14000 €</v>
      </c>
      <c r="G55" s="3">
        <f>[1]Sheet1!I49</f>
        <v>15966</v>
      </c>
      <c r="H55" s="2" t="str">
        <f>[1]Sheet1!N49</f>
        <v>Part-Time</v>
      </c>
      <c r="I55" s="2" t="str">
        <f>[1]Sheet1!O49</f>
        <v>Small</v>
      </c>
      <c r="J55" s="2" t="str">
        <f>[1]Sheet1!R49</f>
        <v>Germany</v>
      </c>
      <c r="K55" s="2" t="str">
        <f>[1]Sheet1!S49</f>
        <v>Germany</v>
      </c>
      <c r="L55" s="1"/>
    </row>
    <row r="56" spans="2:18">
      <c r="B56">
        <f>[1]Sheet1!B50</f>
        <v>47</v>
      </c>
      <c r="C56" s="2">
        <f>[1]Sheet1!C50</f>
        <v>2020</v>
      </c>
      <c r="D56" s="2" t="str">
        <f>[1]Sheet1!F50</f>
        <v>Data Scientist</v>
      </c>
      <c r="E56" s="2" t="str">
        <f>[1]Sheet1!Y49</f>
        <v>Mid-Level</v>
      </c>
      <c r="F56" s="2" t="str">
        <f>[1]Sheet1!Q50</f>
        <v>60000 £</v>
      </c>
      <c r="G56" s="3">
        <f>[1]Sheet1!I50</f>
        <v>76958</v>
      </c>
      <c r="H56" s="2" t="str">
        <f>[1]Sheet1!N50</f>
        <v>Full-Time</v>
      </c>
      <c r="I56" s="2" t="str">
        <f>[1]Sheet1!O50</f>
        <v>Small</v>
      </c>
      <c r="J56" s="2" t="str">
        <f>[1]Sheet1!R50</f>
        <v>United Kingdom</v>
      </c>
      <c r="K56" s="2" t="str">
        <f>[1]Sheet1!S50</f>
        <v>United Kingdom</v>
      </c>
      <c r="L56" s="1"/>
    </row>
    <row r="57" spans="2:18">
      <c r="B57">
        <f>[1]Sheet1!B51</f>
        <v>48</v>
      </c>
      <c r="C57" s="2">
        <f>[1]Sheet1!C51</f>
        <v>2020</v>
      </c>
      <c r="D57" s="2" t="str">
        <f>[1]Sheet1!F51</f>
        <v>Data Engineer</v>
      </c>
      <c r="E57" s="2" t="str">
        <f>[1]Sheet1!Y50</f>
        <v>Senior-Level</v>
      </c>
      <c r="F57" s="2" t="str">
        <f>[1]Sheet1!Q51</f>
        <v>188000 $</v>
      </c>
      <c r="G57" s="3">
        <f>[1]Sheet1!I51</f>
        <v>188000</v>
      </c>
      <c r="H57" s="2" t="str">
        <f>[1]Sheet1!N51</f>
        <v>Full-Time</v>
      </c>
      <c r="I57" s="2" t="str">
        <f>[1]Sheet1!O51</f>
        <v>Large</v>
      </c>
      <c r="J57" s="2" t="str">
        <f>[1]Sheet1!R51</f>
        <v>United States</v>
      </c>
      <c r="K57" s="2" t="str">
        <f>[1]Sheet1!S51</f>
        <v>United States</v>
      </c>
      <c r="L57" s="1"/>
    </row>
    <row r="58" spans="2:18">
      <c r="B58">
        <f>[1]Sheet1!B52</f>
        <v>49</v>
      </c>
      <c r="C58" s="2">
        <f>[1]Sheet1!C52</f>
        <v>2020</v>
      </c>
      <c r="D58" s="2" t="str">
        <f>[1]Sheet1!F52</f>
        <v>Data Scientist</v>
      </c>
      <c r="E58" s="2" t="str">
        <f>[1]Sheet1!Y51</f>
        <v>Mid-Level</v>
      </c>
      <c r="F58" s="2" t="str">
        <f>[1]Sheet1!Q52</f>
        <v>105000 $</v>
      </c>
      <c r="G58" s="3">
        <f>[1]Sheet1!I52</f>
        <v>105000</v>
      </c>
      <c r="H58" s="2" t="str">
        <f>[1]Sheet1!N52</f>
        <v>Full-Time</v>
      </c>
      <c r="I58" s="2" t="str">
        <f>[1]Sheet1!O52</f>
        <v>Large</v>
      </c>
      <c r="J58" s="2" t="str">
        <f>[1]Sheet1!R52</f>
        <v>United States</v>
      </c>
      <c r="K58" s="2" t="str">
        <f>[1]Sheet1!S52</f>
        <v>United States</v>
      </c>
      <c r="L58" s="1"/>
    </row>
    <row r="59" spans="2:18">
      <c r="B59">
        <f>[1]Sheet1!B53</f>
        <v>50</v>
      </c>
      <c r="C59" s="2">
        <f>[1]Sheet1!C53</f>
        <v>2020</v>
      </c>
      <c r="D59" s="2" t="str">
        <f>[1]Sheet1!F53</f>
        <v>Data Engineer</v>
      </c>
      <c r="E59" s="2" t="str">
        <f>[1]Sheet1!Y52</f>
        <v>Mid-Level</v>
      </c>
      <c r="F59" s="2" t="str">
        <f>[1]Sheet1!Q53</f>
        <v>61500 €</v>
      </c>
      <c r="G59" s="3">
        <f>[1]Sheet1!I53</f>
        <v>70139</v>
      </c>
      <c r="H59" s="2" t="str">
        <f>[1]Sheet1!N53</f>
        <v>Full-Time</v>
      </c>
      <c r="I59" s="2" t="str">
        <f>[1]Sheet1!O53</f>
        <v>Large</v>
      </c>
      <c r="J59" s="2" t="str">
        <f>[1]Sheet1!R53</f>
        <v>France</v>
      </c>
      <c r="K59" s="2" t="str">
        <f>[1]Sheet1!S53</f>
        <v>France</v>
      </c>
      <c r="L59" s="1"/>
    </row>
    <row r="60" spans="2:18">
      <c r="B60">
        <f>[1]Sheet1!B54</f>
        <v>51</v>
      </c>
      <c r="C60" s="2">
        <f>[1]Sheet1!C54</f>
        <v>2020</v>
      </c>
      <c r="D60" s="2" t="str">
        <f>[1]Sheet1!F54</f>
        <v>Data Analyst</v>
      </c>
      <c r="E60" s="2" t="str">
        <f>[1]Sheet1!Y53</f>
        <v>Entry-Level</v>
      </c>
      <c r="F60" s="2" t="str">
        <f>[1]Sheet1!Q54</f>
        <v>450000 ₹</v>
      </c>
      <c r="G60" s="3">
        <f>[1]Sheet1!I54</f>
        <v>6072</v>
      </c>
      <c r="H60" s="2" t="str">
        <f>[1]Sheet1!N54</f>
        <v>Full-Time</v>
      </c>
      <c r="I60" s="2" t="str">
        <f>[1]Sheet1!O54</f>
        <v>Small</v>
      </c>
      <c r="J60" s="2" t="str">
        <f>[1]Sheet1!R54</f>
        <v>India</v>
      </c>
      <c r="K60" s="2" t="str">
        <f>[1]Sheet1!S54</f>
        <v>India</v>
      </c>
      <c r="L60" s="1"/>
    </row>
    <row r="61" spans="2:18">
      <c r="B61">
        <f>[1]Sheet1!B55</f>
        <v>52</v>
      </c>
      <c r="C61" s="2">
        <f>[1]Sheet1!C55</f>
        <v>2020</v>
      </c>
      <c r="D61" s="2" t="str">
        <f>[1]Sheet1!F55</f>
        <v>Data Analyst</v>
      </c>
      <c r="E61" s="2" t="str">
        <f>[1]Sheet1!Y54</f>
        <v>Entry-Level</v>
      </c>
      <c r="F61" s="2" t="str">
        <f>[1]Sheet1!Q55</f>
        <v>91000 $</v>
      </c>
      <c r="G61" s="3">
        <f>[1]Sheet1!I55</f>
        <v>91000</v>
      </c>
      <c r="H61" s="2" t="str">
        <f>[1]Sheet1!N55</f>
        <v>Full-Time</v>
      </c>
      <c r="I61" s="2" t="str">
        <f>[1]Sheet1!O55</f>
        <v>Large</v>
      </c>
      <c r="J61" s="2" t="str">
        <f>[1]Sheet1!R55</f>
        <v>United States</v>
      </c>
      <c r="K61" s="2" t="str">
        <f>[1]Sheet1!S55</f>
        <v>United States</v>
      </c>
      <c r="L61" s="1"/>
    </row>
    <row r="62" spans="2:18">
      <c r="B62">
        <f>[1]Sheet1!B56</f>
        <v>53</v>
      </c>
      <c r="C62" s="2">
        <f>[1]Sheet1!C56</f>
        <v>2020</v>
      </c>
      <c r="D62" s="2" t="str">
        <f>[1]Sheet1!F56</f>
        <v>AI Scientist</v>
      </c>
      <c r="E62" s="2" t="str">
        <f>[1]Sheet1!Y55</f>
        <v>Entry-Level</v>
      </c>
      <c r="F62" s="2" t="str">
        <f>[1]Sheet1!Q56</f>
        <v>300000 kr</v>
      </c>
      <c r="G62" s="3">
        <f>[1]Sheet1!I56</f>
        <v>45896</v>
      </c>
      <c r="H62" s="2" t="str">
        <f>[1]Sheet1!N56</f>
        <v>Full-Time</v>
      </c>
      <c r="I62" s="2" t="str">
        <f>[1]Sheet1!O56</f>
        <v>Small</v>
      </c>
      <c r="J62" s="2" t="str">
        <f>[1]Sheet1!R56</f>
        <v>Denmark</v>
      </c>
      <c r="K62" s="2" t="str">
        <f>[1]Sheet1!S56</f>
        <v>Denmark</v>
      </c>
      <c r="L62" s="1"/>
    </row>
    <row r="63" spans="2:18">
      <c r="B63">
        <f>[1]Sheet1!B57</f>
        <v>54</v>
      </c>
      <c r="C63" s="2">
        <f>[1]Sheet1!C57</f>
        <v>2020</v>
      </c>
      <c r="D63" s="2" t="str">
        <f>[1]Sheet1!F57</f>
        <v>Data Engineer</v>
      </c>
      <c r="E63" s="2" t="str">
        <f>[1]Sheet1!Y56</f>
        <v>Entry-Level</v>
      </c>
      <c r="F63" s="2" t="str">
        <f>[1]Sheet1!Q57</f>
        <v>48000 €</v>
      </c>
      <c r="G63" s="3">
        <f>[1]Sheet1!I57</f>
        <v>54742</v>
      </c>
      <c r="H63" s="2" t="str">
        <f>[1]Sheet1!N57</f>
        <v>Full-Time</v>
      </c>
      <c r="I63" s="2" t="str">
        <f>[1]Sheet1!O57</f>
        <v>Large</v>
      </c>
      <c r="J63" s="2" t="str">
        <f>[1]Sheet1!R57</f>
        <v>Pakistan</v>
      </c>
      <c r="K63" s="2" t="str">
        <f>[1]Sheet1!S57</f>
        <v>Germany</v>
      </c>
      <c r="L63" s="1"/>
    </row>
    <row r="64" spans="2:18">
      <c r="B64">
        <f>[1]Sheet1!B58</f>
        <v>55</v>
      </c>
      <c r="C64" s="2">
        <f>[1]Sheet1!C58</f>
        <v>2020</v>
      </c>
      <c r="D64" s="2" t="str">
        <f>[1]Sheet1!F58</f>
        <v>Computer Vision Engineer</v>
      </c>
      <c r="E64" s="2" t="str">
        <f>[1]Sheet1!Y57</f>
        <v>Senior-Level</v>
      </c>
      <c r="F64" s="2" t="str">
        <f>[1]Sheet1!Q58</f>
        <v>60000 $</v>
      </c>
      <c r="G64" s="3">
        <f>[1]Sheet1!I58</f>
        <v>60000</v>
      </c>
      <c r="H64" s="2" t="str">
        <f>[1]Sheet1!N58</f>
        <v>Freelance</v>
      </c>
      <c r="I64" s="2" t="str">
        <f>[1]Sheet1!O58</f>
        <v>Small</v>
      </c>
      <c r="J64" s="2" t="str">
        <f>[1]Sheet1!R58</f>
        <v>Russia</v>
      </c>
      <c r="K64" s="2" t="str">
        <f>[1]Sheet1!S58</f>
        <v>United States</v>
      </c>
      <c r="L64" s="1"/>
    </row>
    <row r="65" spans="2:12">
      <c r="B65">
        <f>[1]Sheet1!B59</f>
        <v>56</v>
      </c>
      <c r="C65" s="2">
        <f>[1]Sheet1!C59</f>
        <v>2020</v>
      </c>
      <c r="D65" s="2" t="str">
        <f>[1]Sheet1!F59</f>
        <v>Principal Data Scientist</v>
      </c>
      <c r="E65" s="2" t="str">
        <f>[1]Sheet1!Y58</f>
        <v>Senior-Level</v>
      </c>
      <c r="F65" s="2" t="str">
        <f>[1]Sheet1!Q59</f>
        <v>130000 €</v>
      </c>
      <c r="G65" s="3">
        <f>[1]Sheet1!I59</f>
        <v>148261</v>
      </c>
      <c r="H65" s="2" t="str">
        <f>[1]Sheet1!N59</f>
        <v>Full-Time</v>
      </c>
      <c r="I65" s="2" t="str">
        <f>[1]Sheet1!O59</f>
        <v>Contract</v>
      </c>
      <c r="J65" s="2" t="str">
        <f>[1]Sheet1!R59</f>
        <v>Germany</v>
      </c>
      <c r="K65" s="2" t="str">
        <f>[1]Sheet1!S59</f>
        <v>Germany</v>
      </c>
      <c r="L65" s="1"/>
    </row>
    <row r="66" spans="2:12">
      <c r="B66">
        <f>[1]Sheet1!B60</f>
        <v>57</v>
      </c>
      <c r="C66" s="2">
        <f>[1]Sheet1!C60</f>
        <v>2020</v>
      </c>
      <c r="D66" s="2" t="str">
        <f>[1]Sheet1!F60</f>
        <v>Data Scientist</v>
      </c>
      <c r="E66" s="2" t="str">
        <f>[1]Sheet1!Y59</f>
        <v>Mid-Level</v>
      </c>
      <c r="F66" s="2" t="str">
        <f>[1]Sheet1!Q60</f>
        <v>34000 €</v>
      </c>
      <c r="G66" s="3">
        <f>[1]Sheet1!I60</f>
        <v>38776</v>
      </c>
      <c r="H66" s="2" t="str">
        <f>[1]Sheet1!N60</f>
        <v>Full-Time</v>
      </c>
      <c r="I66" s="2" t="str">
        <f>[1]Sheet1!O60</f>
        <v>Contract</v>
      </c>
      <c r="J66" s="2" t="str">
        <f>[1]Sheet1!R60</f>
        <v>Spain</v>
      </c>
      <c r="K66" s="2" t="str">
        <f>[1]Sheet1!S60</f>
        <v>Spain</v>
      </c>
      <c r="L66" s="1"/>
    </row>
    <row r="67" spans="2:12">
      <c r="B67">
        <f>[1]Sheet1!B61</f>
        <v>58</v>
      </c>
      <c r="C67" s="2">
        <f>[1]Sheet1!C61</f>
        <v>2020</v>
      </c>
      <c r="D67" s="2" t="str">
        <f>[1]Sheet1!F61</f>
        <v>Data Scientist</v>
      </c>
      <c r="E67" s="2" t="str">
        <f>[1]Sheet1!Y60</f>
        <v>Mid-Level</v>
      </c>
      <c r="F67" s="2" t="str">
        <f>[1]Sheet1!Q61</f>
        <v>118000 $</v>
      </c>
      <c r="G67" s="3">
        <f>[1]Sheet1!I61</f>
        <v>118000</v>
      </c>
      <c r="H67" s="2" t="str">
        <f>[1]Sheet1!N61</f>
        <v>Full-Time</v>
      </c>
      <c r="I67" s="2" t="str">
        <f>[1]Sheet1!O61</f>
        <v>Contract</v>
      </c>
      <c r="J67" s="2" t="str">
        <f>[1]Sheet1!R61</f>
        <v>United States</v>
      </c>
      <c r="K67" s="2" t="str">
        <f>[1]Sheet1!S61</f>
        <v>United States</v>
      </c>
      <c r="L67" s="1"/>
    </row>
    <row r="68" spans="2:12">
      <c r="B68">
        <f>[1]Sheet1!B62</f>
        <v>59</v>
      </c>
      <c r="C68" s="2">
        <f>[1]Sheet1!C62</f>
        <v>2020</v>
      </c>
      <c r="D68" s="2" t="str">
        <f>[1]Sheet1!F62</f>
        <v>Data Scientist</v>
      </c>
      <c r="E68" s="2" t="str">
        <f>[1]Sheet1!Y61</f>
        <v>Senior-Level</v>
      </c>
      <c r="F68" s="2" t="str">
        <f>[1]Sheet1!Q62</f>
        <v>120000 $</v>
      </c>
      <c r="G68" s="3">
        <f>[1]Sheet1!I62</f>
        <v>120000</v>
      </c>
      <c r="H68" s="2" t="str">
        <f>[1]Sheet1!N62</f>
        <v>Full-Time</v>
      </c>
      <c r="I68" s="2" t="str">
        <f>[1]Sheet1!O62</f>
        <v>Large</v>
      </c>
      <c r="J68" s="2" t="str">
        <f>[1]Sheet1!R62</f>
        <v>United States</v>
      </c>
      <c r="K68" s="2" t="str">
        <f>[1]Sheet1!S62</f>
        <v>United States</v>
      </c>
      <c r="L68" s="1"/>
    </row>
    <row r="69" spans="2:12">
      <c r="B69">
        <f>[1]Sheet1!B63</f>
        <v>60</v>
      </c>
      <c r="C69" s="2">
        <f>[1]Sheet1!C63</f>
        <v>2020</v>
      </c>
      <c r="D69" s="2" t="str">
        <f>[1]Sheet1!F63</f>
        <v>Data Scientist</v>
      </c>
      <c r="E69" s="2" t="str">
        <f>[1]Sheet1!Y62</f>
        <v>Mid-Level</v>
      </c>
      <c r="F69" s="2" t="str">
        <f>[1]Sheet1!Q63</f>
        <v>138350 $</v>
      </c>
      <c r="G69" s="3">
        <f>[1]Sheet1!I63</f>
        <v>138350</v>
      </c>
      <c r="H69" s="2" t="str">
        <f>[1]Sheet1!N63</f>
        <v>Full-Time</v>
      </c>
      <c r="I69" s="2" t="str">
        <f>[1]Sheet1!O63</f>
        <v>Contract</v>
      </c>
      <c r="J69" s="2" t="str">
        <f>[1]Sheet1!R63</f>
        <v>United States</v>
      </c>
      <c r="K69" s="2" t="str">
        <f>[1]Sheet1!S63</f>
        <v>United States</v>
      </c>
      <c r="L69" s="1"/>
    </row>
    <row r="70" spans="2:12">
      <c r="B70">
        <f>[1]Sheet1!B64</f>
        <v>61</v>
      </c>
      <c r="C70" s="2">
        <f>[1]Sheet1!C64</f>
        <v>2020</v>
      </c>
      <c r="D70" s="2" t="str">
        <f>[1]Sheet1!F64</f>
        <v>Data Engineer</v>
      </c>
      <c r="E70" s="2" t="str">
        <f>[1]Sheet1!Y63</f>
        <v>Mid-Level</v>
      </c>
      <c r="F70" s="2" t="str">
        <f>[1]Sheet1!Q64</f>
        <v>110000 $</v>
      </c>
      <c r="G70" s="3">
        <f>[1]Sheet1!I64</f>
        <v>110000</v>
      </c>
      <c r="H70" s="2" t="str">
        <f>[1]Sheet1!N64</f>
        <v>Full-Time</v>
      </c>
      <c r="I70" s="2" t="str">
        <f>[1]Sheet1!O64</f>
        <v>Large</v>
      </c>
      <c r="J70" s="2" t="str">
        <f>[1]Sheet1!R64</f>
        <v>United States</v>
      </c>
      <c r="K70" s="2" t="str">
        <f>[1]Sheet1!S64</f>
        <v>United States</v>
      </c>
      <c r="L70" s="1"/>
    </row>
    <row r="71" spans="2:12">
      <c r="B71">
        <f>[1]Sheet1!B65</f>
        <v>62</v>
      </c>
      <c r="C71" s="2">
        <f>[1]Sheet1!C65</f>
        <v>2020</v>
      </c>
      <c r="D71" s="2" t="str">
        <f>[1]Sheet1!F65</f>
        <v>Data Engineer</v>
      </c>
      <c r="E71" s="2" t="str">
        <f>[1]Sheet1!Y64</f>
        <v>Mid-Level</v>
      </c>
      <c r="F71" s="2" t="str">
        <f>[1]Sheet1!Q65</f>
        <v>130800 $</v>
      </c>
      <c r="G71" s="3">
        <f>[1]Sheet1!I65</f>
        <v>130800</v>
      </c>
      <c r="H71" s="2" t="str">
        <f>[1]Sheet1!N65</f>
        <v>Full-Time</v>
      </c>
      <c r="I71" s="2" t="str">
        <f>[1]Sheet1!O65</f>
        <v>Contract</v>
      </c>
      <c r="J71" s="2" t="str">
        <f>[1]Sheet1!R65</f>
        <v>Spain</v>
      </c>
      <c r="K71" s="2" t="str">
        <f>[1]Sheet1!S65</f>
        <v>United States</v>
      </c>
      <c r="L71" s="1"/>
    </row>
    <row r="72" spans="2:12">
      <c r="B72">
        <f>[1]Sheet1!B66</f>
        <v>63</v>
      </c>
      <c r="C72" s="2">
        <f>[1]Sheet1!C66</f>
        <v>2020</v>
      </c>
      <c r="D72" s="2" t="str">
        <f>[1]Sheet1!F66</f>
        <v>Data Scientist</v>
      </c>
      <c r="E72" s="2" t="str">
        <f>[1]Sheet1!Y65</f>
        <v>Entry-Level</v>
      </c>
      <c r="F72" s="2" t="str">
        <f>[1]Sheet1!Q66</f>
        <v>19000 €</v>
      </c>
      <c r="G72" s="3">
        <f>[1]Sheet1!I66</f>
        <v>21669</v>
      </c>
      <c r="H72" s="2" t="str">
        <f>[1]Sheet1!N66</f>
        <v>Part-Time</v>
      </c>
      <c r="I72" s="2" t="str">
        <f>[1]Sheet1!O66</f>
        <v>Small</v>
      </c>
      <c r="J72" s="2" t="str">
        <f>[1]Sheet1!R66</f>
        <v>Italy</v>
      </c>
      <c r="K72" s="2" t="str">
        <f>[1]Sheet1!S66</f>
        <v>Italy</v>
      </c>
      <c r="L72" s="1"/>
    </row>
    <row r="73" spans="2:12">
      <c r="B73">
        <f>[1]Sheet1!B67</f>
        <v>64</v>
      </c>
      <c r="C73" s="2">
        <f>[1]Sheet1!C67</f>
        <v>2020</v>
      </c>
      <c r="D73" s="2" t="str">
        <f>[1]Sheet1!F67</f>
        <v>Data Scientist</v>
      </c>
      <c r="E73" s="2" t="str">
        <f>[1]Sheet1!Y66</f>
        <v>Senior-Level</v>
      </c>
      <c r="F73" s="2" t="str">
        <f>[1]Sheet1!Q67</f>
        <v>412000 $</v>
      </c>
      <c r="G73" s="3">
        <f>[1]Sheet1!I67</f>
        <v>412000</v>
      </c>
      <c r="H73" s="2" t="str">
        <f>[1]Sheet1!N67</f>
        <v>Full-Time</v>
      </c>
      <c r="I73" s="2" t="str">
        <f>[1]Sheet1!O67</f>
        <v>Large</v>
      </c>
      <c r="J73" s="2" t="str">
        <f>[1]Sheet1!R67</f>
        <v>United States</v>
      </c>
      <c r="K73" s="2" t="str">
        <f>[1]Sheet1!S67</f>
        <v>United States</v>
      </c>
      <c r="L73" s="1"/>
    </row>
    <row r="74" spans="2:12">
      <c r="B74">
        <f>[1]Sheet1!B68</f>
        <v>65</v>
      </c>
      <c r="C74" s="2">
        <f>[1]Sheet1!C68</f>
        <v>2020</v>
      </c>
      <c r="D74" s="2" t="str">
        <f>[1]Sheet1!F68</f>
        <v>Machine Learning Engineer</v>
      </c>
      <c r="E74" s="2" t="str">
        <f>[1]Sheet1!Y67</f>
        <v>Senior-Level</v>
      </c>
      <c r="F74" s="2" t="str">
        <f>[1]Sheet1!Q68</f>
        <v>40000 €</v>
      </c>
      <c r="G74" s="3">
        <f>[1]Sheet1!I68</f>
        <v>45618</v>
      </c>
      <c r="H74" s="2" t="str">
        <f>[1]Sheet1!N68</f>
        <v>Full-Time</v>
      </c>
      <c r="I74" s="2" t="str">
        <f>[1]Sheet1!O68</f>
        <v>Small</v>
      </c>
      <c r="J74" s="2" t="str">
        <f>[1]Sheet1!R68</f>
        <v>Croatia</v>
      </c>
      <c r="K74" s="2" t="str">
        <f>[1]Sheet1!S68</f>
        <v>Croatia</v>
      </c>
      <c r="L74" s="1"/>
    </row>
    <row r="75" spans="2:12">
      <c r="B75">
        <f>[1]Sheet1!B69</f>
        <v>66</v>
      </c>
      <c r="C75" s="2">
        <f>[1]Sheet1!C69</f>
        <v>2020</v>
      </c>
      <c r="D75" s="2" t="str">
        <f>[1]Sheet1!F69</f>
        <v>Data Scientist</v>
      </c>
      <c r="E75" s="2" t="str">
        <f>[1]Sheet1!Y68</f>
        <v>Entry-Level</v>
      </c>
      <c r="F75" s="2" t="str">
        <f>[1]Sheet1!Q69</f>
        <v>55000 €</v>
      </c>
      <c r="G75" s="3">
        <f>[1]Sheet1!I69</f>
        <v>62726</v>
      </c>
      <c r="H75" s="2" t="str">
        <f>[1]Sheet1!N69</f>
        <v>Full-Time</v>
      </c>
      <c r="I75" s="2" t="str">
        <f>[1]Sheet1!O69</f>
        <v>Small</v>
      </c>
      <c r="J75" s="2" t="str">
        <f>[1]Sheet1!R69</f>
        <v>Germany</v>
      </c>
      <c r="K75" s="2" t="str">
        <f>[1]Sheet1!S69</f>
        <v>Germany</v>
      </c>
      <c r="L75" s="1"/>
    </row>
    <row r="76" spans="2:12">
      <c r="B76">
        <f>[1]Sheet1!B70</f>
        <v>67</v>
      </c>
      <c r="C76" s="2">
        <f>[1]Sheet1!C70</f>
        <v>2020</v>
      </c>
      <c r="D76" s="2" t="str">
        <f>[1]Sheet1!F70</f>
        <v>Data Scientist</v>
      </c>
      <c r="E76" s="2" t="str">
        <f>[1]Sheet1!Y69</f>
        <v>Entry-Level</v>
      </c>
      <c r="F76" s="2" t="str">
        <f>[1]Sheet1!Q70</f>
        <v>43200 €</v>
      </c>
      <c r="G76" s="3">
        <f>[1]Sheet1!I70</f>
        <v>49268</v>
      </c>
      <c r="H76" s="2" t="str">
        <f>[1]Sheet1!N70</f>
        <v>Full-Time</v>
      </c>
      <c r="I76" s="2" t="str">
        <f>[1]Sheet1!O70</f>
        <v>Small</v>
      </c>
      <c r="J76" s="2" t="str">
        <f>[1]Sheet1!R70</f>
        <v>Germany</v>
      </c>
      <c r="K76" s="2" t="str">
        <f>[1]Sheet1!S70</f>
        <v>Germany</v>
      </c>
      <c r="L76" s="1"/>
    </row>
    <row r="77" spans="2:12">
      <c r="B77">
        <f>[1]Sheet1!B71</f>
        <v>68</v>
      </c>
      <c r="C77" s="2">
        <f>[1]Sheet1!C71</f>
        <v>2020</v>
      </c>
      <c r="D77" s="2" t="str">
        <f>[1]Sheet1!F71</f>
        <v>Data Science Manager</v>
      </c>
      <c r="E77" s="2" t="str">
        <f>[1]Sheet1!Y70</f>
        <v>Senior-Level</v>
      </c>
      <c r="F77" s="2" t="str">
        <f>[1]Sheet1!Q71</f>
        <v>190200 $</v>
      </c>
      <c r="G77" s="3">
        <f>[1]Sheet1!I71</f>
        <v>190200</v>
      </c>
      <c r="H77" s="2" t="str">
        <f>[1]Sheet1!N71</f>
        <v>Full-Time</v>
      </c>
      <c r="I77" s="2" t="str">
        <f>[1]Sheet1!O71</f>
        <v>Contract</v>
      </c>
      <c r="J77" s="2" t="str">
        <f>[1]Sheet1!R71</f>
        <v>United States</v>
      </c>
      <c r="K77" s="2" t="str">
        <f>[1]Sheet1!S71</f>
        <v>United States</v>
      </c>
      <c r="L77" s="1"/>
    </row>
    <row r="78" spans="2:12">
      <c r="B78">
        <f>[1]Sheet1!B72</f>
        <v>69</v>
      </c>
      <c r="C78" s="2">
        <f>[1]Sheet1!C72</f>
        <v>2020</v>
      </c>
      <c r="D78" s="2" t="str">
        <f>[1]Sheet1!F72</f>
        <v>Data Scientist</v>
      </c>
      <c r="E78" s="2" t="str">
        <f>[1]Sheet1!Y71</f>
        <v>Senior-Level</v>
      </c>
      <c r="F78" s="2" t="str">
        <f>[1]Sheet1!Q72</f>
        <v>80000 €</v>
      </c>
      <c r="G78" s="3">
        <f>[1]Sheet1!I72</f>
        <v>91237</v>
      </c>
      <c r="H78" s="2" t="str">
        <f>[1]Sheet1!N72</f>
        <v>Full-Time</v>
      </c>
      <c r="I78" s="2" t="str">
        <f>[1]Sheet1!O72</f>
        <v>Small</v>
      </c>
      <c r="J78" s="2" t="str">
        <f>[1]Sheet1!R72</f>
        <v>Austria</v>
      </c>
      <c r="K78" s="2" t="str">
        <f>[1]Sheet1!S72</f>
        <v>Austria</v>
      </c>
      <c r="L78" s="1"/>
    </row>
    <row r="79" spans="2:12">
      <c r="B79">
        <f>[1]Sheet1!B73</f>
        <v>70</v>
      </c>
      <c r="C79" s="2">
        <f>[1]Sheet1!C73</f>
        <v>2020</v>
      </c>
      <c r="D79" s="2" t="str">
        <f>[1]Sheet1!F73</f>
        <v>Data Scientist</v>
      </c>
      <c r="E79" s="2" t="str">
        <f>[1]Sheet1!Y72</f>
        <v>Mid-Level</v>
      </c>
      <c r="F79" s="2" t="str">
        <f>[1]Sheet1!Q73</f>
        <v>55000 €</v>
      </c>
      <c r="G79" s="3">
        <f>[1]Sheet1!I73</f>
        <v>62726</v>
      </c>
      <c r="H79" s="2" t="str">
        <f>[1]Sheet1!N73</f>
        <v>Full-Time</v>
      </c>
      <c r="I79" s="2" t="str">
        <f>[1]Sheet1!O73</f>
        <v>Small</v>
      </c>
      <c r="J79" s="2" t="str">
        <f>[1]Sheet1!R73</f>
        <v>France</v>
      </c>
      <c r="K79" s="2" t="str">
        <f>[1]Sheet1!S73</f>
        <v>Luxembourg</v>
      </c>
      <c r="L79" s="1"/>
    </row>
    <row r="80" spans="2:12">
      <c r="B80">
        <f>[1]Sheet1!B74</f>
        <v>71</v>
      </c>
      <c r="C80" s="2">
        <f>[1]Sheet1!C74</f>
        <v>2020</v>
      </c>
      <c r="D80" s="2" t="str">
        <f>[1]Sheet1!F74</f>
        <v>Data Scientist</v>
      </c>
      <c r="E80" s="2" t="str">
        <f>[1]Sheet1!Y73</f>
        <v>Mid-Level</v>
      </c>
      <c r="F80" s="2" t="str">
        <f>[1]Sheet1!Q74</f>
        <v>37000 €</v>
      </c>
      <c r="G80" s="3">
        <f>[1]Sheet1!I74</f>
        <v>42197</v>
      </c>
      <c r="H80" s="2" t="str">
        <f>[1]Sheet1!N74</f>
        <v>Full-Time</v>
      </c>
      <c r="I80" s="2" t="str">
        <f>[1]Sheet1!O74</f>
        <v>Small</v>
      </c>
      <c r="J80" s="2" t="str">
        <f>[1]Sheet1!R74</f>
        <v>France</v>
      </c>
      <c r="K80" s="2" t="str">
        <f>[1]Sheet1!S74</f>
        <v>France</v>
      </c>
      <c r="L80" s="1"/>
    </row>
    <row r="81" spans="2:12">
      <c r="B81">
        <f>[1]Sheet1!B75</f>
        <v>72</v>
      </c>
      <c r="C81" s="2">
        <f>[1]Sheet1!C75</f>
        <v>2021</v>
      </c>
      <c r="D81" s="2" t="str">
        <f>[1]Sheet1!F75</f>
        <v>Research Scientist</v>
      </c>
      <c r="E81" s="2" t="str">
        <f>[1]Sheet1!Y74</f>
        <v>Entry-Level</v>
      </c>
      <c r="F81" s="2" t="str">
        <f>[1]Sheet1!Q75</f>
        <v>60000 £</v>
      </c>
      <c r="G81" s="3">
        <f>[1]Sheet1!I75</f>
        <v>82528</v>
      </c>
      <c r="H81" s="2" t="str">
        <f>[1]Sheet1!N75</f>
        <v>Full-Time</v>
      </c>
      <c r="I81" s="2" t="str">
        <f>[1]Sheet1!O75</f>
        <v>Large</v>
      </c>
      <c r="J81" s="2" t="str">
        <f>[1]Sheet1!R75</f>
        <v>United Kingdom</v>
      </c>
      <c r="K81" s="2" t="str">
        <f>[1]Sheet1!S75</f>
        <v>United Kingdom</v>
      </c>
      <c r="L81" s="1"/>
    </row>
    <row r="82" spans="2:12">
      <c r="B82">
        <f>[1]Sheet1!B76</f>
        <v>73</v>
      </c>
      <c r="C82" s="2">
        <f>[1]Sheet1!C76</f>
        <v>2021</v>
      </c>
      <c r="D82" s="2" t="str">
        <f>[1]Sheet1!F76</f>
        <v>BI Data Analyst</v>
      </c>
      <c r="E82" s="2" t="str">
        <f>[1]Sheet1!Y75</f>
        <v>Executive</v>
      </c>
      <c r="F82" s="2" t="str">
        <f>[1]Sheet1!Q76</f>
        <v>150000 $</v>
      </c>
      <c r="G82" s="3">
        <f>[1]Sheet1!I76</f>
        <v>150000</v>
      </c>
      <c r="H82" s="2" t="str">
        <f>[1]Sheet1!N76</f>
        <v>Full-Time</v>
      </c>
      <c r="I82" s="2" t="str">
        <f>[1]Sheet1!O76</f>
        <v>Large</v>
      </c>
      <c r="J82" s="2" t="str">
        <f>[1]Sheet1!R76</f>
        <v>India</v>
      </c>
      <c r="K82" s="2" t="str">
        <f>[1]Sheet1!S76</f>
        <v>United States</v>
      </c>
      <c r="L82" s="1"/>
    </row>
    <row r="83" spans="2:12">
      <c r="B83">
        <f>[1]Sheet1!B77</f>
        <v>74</v>
      </c>
      <c r="C83" s="2">
        <f>[1]Sheet1!C77</f>
        <v>2021</v>
      </c>
      <c r="D83" s="2" t="str">
        <f>[1]Sheet1!F77</f>
        <v>Head of Data</v>
      </c>
      <c r="E83" s="2" t="str">
        <f>[1]Sheet1!Y76</f>
        <v>Executive</v>
      </c>
      <c r="F83" s="2" t="str">
        <f>[1]Sheet1!Q77</f>
        <v>235000 $</v>
      </c>
      <c r="G83" s="3">
        <f>[1]Sheet1!I77</f>
        <v>235000</v>
      </c>
      <c r="H83" s="2" t="str">
        <f>[1]Sheet1!N77</f>
        <v>Full-Time</v>
      </c>
      <c r="I83" s="2" t="str">
        <f>[1]Sheet1!O77</f>
        <v>Large</v>
      </c>
      <c r="J83" s="2" t="str">
        <f>[1]Sheet1!R77</f>
        <v>United States</v>
      </c>
      <c r="K83" s="2" t="str">
        <f>[1]Sheet1!S77</f>
        <v>United States</v>
      </c>
      <c r="L83" s="1"/>
    </row>
    <row r="84" spans="2:12">
      <c r="B84">
        <f>[1]Sheet1!B78</f>
        <v>75</v>
      </c>
      <c r="C84" s="2">
        <f>[1]Sheet1!C78</f>
        <v>2021</v>
      </c>
      <c r="D84" s="2" t="str">
        <f>[1]Sheet1!F78</f>
        <v>BI Data Analyst</v>
      </c>
      <c r="E84" s="2" t="str">
        <f>[1]Sheet1!Y77</f>
        <v>Mid-Level</v>
      </c>
      <c r="F84" s="2" t="str">
        <f>[1]Sheet1!Q78</f>
        <v>100000 $</v>
      </c>
      <c r="G84" s="3">
        <f>[1]Sheet1!I78</f>
        <v>100000</v>
      </c>
      <c r="H84" s="2" t="str">
        <f>[1]Sheet1!N78</f>
        <v>Full-Time</v>
      </c>
      <c r="I84" s="2" t="str">
        <f>[1]Sheet1!O78</f>
        <v>Contract</v>
      </c>
      <c r="J84" s="2" t="str">
        <f>[1]Sheet1!R78</f>
        <v>United States</v>
      </c>
      <c r="K84" s="2" t="str">
        <f>[1]Sheet1!S78</f>
        <v>United States</v>
      </c>
      <c r="L84" s="1"/>
    </row>
    <row r="85" spans="2:12">
      <c r="B85">
        <f>[1]Sheet1!B79</f>
        <v>76</v>
      </c>
      <c r="C85" s="2">
        <f>[1]Sheet1!C79</f>
        <v>2021</v>
      </c>
      <c r="D85" s="2" t="str">
        <f>[1]Sheet1!F79</f>
        <v>3D Computer Vision Researcher</v>
      </c>
      <c r="E85" s="2" t="str">
        <f>[1]Sheet1!Y78</f>
        <v>Mid-Level</v>
      </c>
      <c r="F85" s="2" t="str">
        <f>[1]Sheet1!Q79</f>
        <v>400000 ₹</v>
      </c>
      <c r="G85" s="3">
        <f>[1]Sheet1!I79</f>
        <v>5409</v>
      </c>
      <c r="H85" s="2" t="str">
        <f>[1]Sheet1!N79</f>
        <v>Part-Time</v>
      </c>
      <c r="I85" s="2" t="str">
        <f>[1]Sheet1!O79</f>
        <v>Contract</v>
      </c>
      <c r="J85" s="2" t="str">
        <f>[1]Sheet1!R79</f>
        <v>India</v>
      </c>
      <c r="K85" s="2" t="str">
        <f>[1]Sheet1!S79</f>
        <v>India</v>
      </c>
      <c r="L85" s="1"/>
    </row>
    <row r="86" spans="2:12">
      <c r="B86">
        <f>[1]Sheet1!B80</f>
        <v>77</v>
      </c>
      <c r="C86" s="2">
        <f>[1]Sheet1!C80</f>
        <v>2021</v>
      </c>
      <c r="D86" s="2" t="str">
        <f>[1]Sheet1!F80</f>
        <v>ML Engineer</v>
      </c>
      <c r="E86" s="2" t="str">
        <f>[1]Sheet1!Y79</f>
        <v>Mid-Level</v>
      </c>
      <c r="F86" s="2" t="str">
        <f>[1]Sheet1!Q80</f>
        <v>270000 $</v>
      </c>
      <c r="G86" s="3">
        <f>[1]Sheet1!I80</f>
        <v>270000</v>
      </c>
      <c r="H86" s="2" t="str">
        <f>[1]Sheet1!N80</f>
        <v>Contract</v>
      </c>
      <c r="I86" s="2" t="str">
        <f>[1]Sheet1!O80</f>
        <v>Large</v>
      </c>
      <c r="J86" s="2" t="str">
        <f>[1]Sheet1!R80</f>
        <v>United States</v>
      </c>
      <c r="K86" s="2" t="str">
        <f>[1]Sheet1!S80</f>
        <v>United States</v>
      </c>
      <c r="L86" s="1"/>
    </row>
    <row r="87" spans="2:12">
      <c r="B87">
        <f>[1]Sheet1!B81</f>
        <v>78</v>
      </c>
      <c r="C87" s="2">
        <f>[1]Sheet1!C81</f>
        <v>2021</v>
      </c>
      <c r="D87" s="2" t="str">
        <f>[1]Sheet1!F81</f>
        <v>Data Analyst</v>
      </c>
      <c r="E87" s="2" t="str">
        <f>[1]Sheet1!Y80</f>
        <v>Entry-Level</v>
      </c>
      <c r="F87" s="2" t="str">
        <f>[1]Sheet1!Q81</f>
        <v>80000 $</v>
      </c>
      <c r="G87" s="3">
        <f>[1]Sheet1!I81</f>
        <v>80000</v>
      </c>
      <c r="H87" s="2" t="str">
        <f>[1]Sheet1!N81</f>
        <v>Full-Time</v>
      </c>
      <c r="I87" s="2" t="str">
        <f>[1]Sheet1!O81</f>
        <v>Contract</v>
      </c>
      <c r="J87" s="2" t="str">
        <f>[1]Sheet1!R81</f>
        <v>United States</v>
      </c>
      <c r="K87" s="2" t="str">
        <f>[1]Sheet1!S81</f>
        <v>United States</v>
      </c>
      <c r="L87" s="1"/>
    </row>
    <row r="88" spans="2:12">
      <c r="B88">
        <f>[1]Sheet1!B82</f>
        <v>79</v>
      </c>
      <c r="C88" s="2">
        <f>[1]Sheet1!C82</f>
        <v>2021</v>
      </c>
      <c r="D88" s="2" t="str">
        <f>[1]Sheet1!F82</f>
        <v>Data Analytics Engineer</v>
      </c>
      <c r="E88" s="2" t="str">
        <f>[1]Sheet1!Y81</f>
        <v>Senior-Level</v>
      </c>
      <c r="F88" s="2" t="str">
        <f>[1]Sheet1!Q82</f>
        <v>67000 €</v>
      </c>
      <c r="G88" s="3">
        <f>[1]Sheet1!I82</f>
        <v>79197</v>
      </c>
      <c r="H88" s="2" t="str">
        <f>[1]Sheet1!N82</f>
        <v>Full-Time</v>
      </c>
      <c r="I88" s="2" t="str">
        <f>[1]Sheet1!O82</f>
        <v>Large</v>
      </c>
      <c r="J88" s="2" t="str">
        <f>[1]Sheet1!R82</f>
        <v>Germany</v>
      </c>
      <c r="K88" s="2" t="str">
        <f>[1]Sheet1!S82</f>
        <v>Germany</v>
      </c>
      <c r="L88" s="1"/>
    </row>
    <row r="89" spans="2:12">
      <c r="B89">
        <f>[1]Sheet1!B83</f>
        <v>80</v>
      </c>
      <c r="C89" s="2">
        <f>[1]Sheet1!C83</f>
        <v>2021</v>
      </c>
      <c r="D89" s="2" t="str">
        <f>[1]Sheet1!F83</f>
        <v>Data Engineer</v>
      </c>
      <c r="E89" s="2" t="str">
        <f>[1]Sheet1!Y82</f>
        <v>Mid-Level</v>
      </c>
      <c r="F89" s="2" t="str">
        <f>[1]Sheet1!Q83</f>
        <v>140000 $</v>
      </c>
      <c r="G89" s="3">
        <f>[1]Sheet1!I83</f>
        <v>140000</v>
      </c>
      <c r="H89" s="2" t="str">
        <f>[1]Sheet1!N83</f>
        <v>Full-Time</v>
      </c>
      <c r="I89" s="2" t="str">
        <f>[1]Sheet1!O83</f>
        <v>Large</v>
      </c>
      <c r="J89" s="2" t="str">
        <f>[1]Sheet1!R83</f>
        <v>United States</v>
      </c>
      <c r="K89" s="2" t="str">
        <f>[1]Sheet1!S83</f>
        <v>United States</v>
      </c>
      <c r="L89" s="1"/>
    </row>
    <row r="90" spans="2:12">
      <c r="B90">
        <f>[1]Sheet1!B84</f>
        <v>81</v>
      </c>
      <c r="C90" s="2">
        <f>[1]Sheet1!C84</f>
        <v>2021</v>
      </c>
      <c r="D90" s="2" t="str">
        <f>[1]Sheet1!F84</f>
        <v>Applied Data Scientist</v>
      </c>
      <c r="E90" s="2" t="str">
        <f>[1]Sheet1!Y83</f>
        <v>Mid-Level</v>
      </c>
      <c r="F90" s="2" t="str">
        <f>[1]Sheet1!Q84</f>
        <v>68000 C$</v>
      </c>
      <c r="G90" s="3">
        <f>[1]Sheet1!I84</f>
        <v>54238</v>
      </c>
      <c r="H90" s="2" t="str">
        <f>[1]Sheet1!N84</f>
        <v>Full-Time</v>
      </c>
      <c r="I90" s="2" t="str">
        <f>[1]Sheet1!O84</f>
        <v>Large</v>
      </c>
      <c r="J90" s="2" t="str">
        <f>[1]Sheet1!R84</f>
        <v>United Kingdom</v>
      </c>
      <c r="K90" s="2" t="str">
        <f>[1]Sheet1!S84</f>
        <v>Canada</v>
      </c>
      <c r="L90" s="1"/>
    </row>
    <row r="91" spans="2:12">
      <c r="B91">
        <f>[1]Sheet1!B85</f>
        <v>82</v>
      </c>
      <c r="C91" s="2">
        <f>[1]Sheet1!C85</f>
        <v>2021</v>
      </c>
      <c r="D91" s="2" t="str">
        <f>[1]Sheet1!F85</f>
        <v>Machine Learning Engineer</v>
      </c>
      <c r="E91" s="2" t="str">
        <f>[1]Sheet1!Y84</f>
        <v>Mid-Level</v>
      </c>
      <c r="F91" s="2" t="str">
        <f>[1]Sheet1!Q85</f>
        <v>40000 €</v>
      </c>
      <c r="G91" s="3">
        <f>[1]Sheet1!I85</f>
        <v>47282</v>
      </c>
      <c r="H91" s="2" t="str">
        <f>[1]Sheet1!N85</f>
        <v>Full-Time</v>
      </c>
      <c r="I91" s="2" t="str">
        <f>[1]Sheet1!O85</f>
        <v>Small</v>
      </c>
      <c r="J91" s="2" t="str">
        <f>[1]Sheet1!R85</f>
        <v>Spain</v>
      </c>
      <c r="K91" s="2" t="str">
        <f>[1]Sheet1!S85</f>
        <v>Spain</v>
      </c>
      <c r="L91" s="1"/>
    </row>
    <row r="92" spans="2:12">
      <c r="B92">
        <f>[1]Sheet1!B86</f>
        <v>83</v>
      </c>
      <c r="C92" s="2">
        <f>[1]Sheet1!C86</f>
        <v>2021</v>
      </c>
      <c r="D92" s="2" t="str">
        <f>[1]Sheet1!F86</f>
        <v>Director of Data Science</v>
      </c>
      <c r="E92" s="2" t="str">
        <f>[1]Sheet1!Y85</f>
        <v>Executive</v>
      </c>
      <c r="F92" s="2" t="str">
        <f>[1]Sheet1!Q86</f>
        <v>130000 €</v>
      </c>
      <c r="G92" s="3">
        <f>[1]Sheet1!I86</f>
        <v>153667</v>
      </c>
      <c r="H92" s="2" t="str">
        <f>[1]Sheet1!N86</f>
        <v>Full-Time</v>
      </c>
      <c r="I92" s="2" t="str">
        <f>[1]Sheet1!O86</f>
        <v>Large</v>
      </c>
      <c r="J92" s="2" t="str">
        <f>[1]Sheet1!R86</f>
        <v>Italy</v>
      </c>
      <c r="K92" s="2" t="str">
        <f>[1]Sheet1!S86</f>
        <v>Poland</v>
      </c>
      <c r="L92" s="1"/>
    </row>
    <row r="93" spans="2:12">
      <c r="B93">
        <f>[1]Sheet1!B87</f>
        <v>84</v>
      </c>
      <c r="C93" s="2">
        <f>[1]Sheet1!C87</f>
        <v>2021</v>
      </c>
      <c r="D93" s="2" t="str">
        <f>[1]Sheet1!F87</f>
        <v>Data Engineer</v>
      </c>
      <c r="E93" s="2" t="str">
        <f>[1]Sheet1!Y86</f>
        <v>Mid-Level</v>
      </c>
      <c r="F93" s="2" t="str">
        <f>[1]Sheet1!Q87</f>
        <v>110000 zł</v>
      </c>
      <c r="G93" s="3">
        <f>[1]Sheet1!I87</f>
        <v>28476</v>
      </c>
      <c r="H93" s="2" t="str">
        <f>[1]Sheet1!N87</f>
        <v>Full-Time</v>
      </c>
      <c r="I93" s="2" t="str">
        <f>[1]Sheet1!O87</f>
        <v>Large</v>
      </c>
      <c r="J93" s="2" t="str">
        <f>[1]Sheet1!R87</f>
        <v>Poland</v>
      </c>
      <c r="K93" s="2" t="str">
        <f>[1]Sheet1!S87</f>
        <v>Poland</v>
      </c>
      <c r="L93" s="1"/>
    </row>
    <row r="94" spans="2:12">
      <c r="B94">
        <f>[1]Sheet1!B88</f>
        <v>85</v>
      </c>
      <c r="C94" s="2">
        <f>[1]Sheet1!C88</f>
        <v>2021</v>
      </c>
      <c r="D94" s="2" t="str">
        <f>[1]Sheet1!F88</f>
        <v>Data Analyst</v>
      </c>
      <c r="E94" s="2" t="str">
        <f>[1]Sheet1!Y87</f>
        <v>Entry-Level</v>
      </c>
      <c r="F94" s="2" t="str">
        <f>[1]Sheet1!Q88</f>
        <v>50000 €</v>
      </c>
      <c r="G94" s="3">
        <f>[1]Sheet1!I88</f>
        <v>59102</v>
      </c>
      <c r="H94" s="2" t="str">
        <f>[1]Sheet1!N88</f>
        <v>Full-Time</v>
      </c>
      <c r="I94" s="2" t="str">
        <f>[1]Sheet1!O88</f>
        <v>Contract</v>
      </c>
      <c r="J94" s="2" t="str">
        <f>[1]Sheet1!R88</f>
        <v>France</v>
      </c>
      <c r="K94" s="2" t="str">
        <f>[1]Sheet1!S88</f>
        <v>France</v>
      </c>
      <c r="L94" s="1"/>
    </row>
    <row r="95" spans="2:12">
      <c r="B95">
        <f>[1]Sheet1!B89</f>
        <v>86</v>
      </c>
      <c r="C95" s="2">
        <f>[1]Sheet1!C89</f>
        <v>2021</v>
      </c>
      <c r="D95" s="2" t="str">
        <f>[1]Sheet1!F89</f>
        <v>Data Analytics Engineer</v>
      </c>
      <c r="E95" s="2" t="str">
        <f>[1]Sheet1!Y88</f>
        <v>Mid-Level</v>
      </c>
      <c r="F95" s="2" t="str">
        <f>[1]Sheet1!Q89</f>
        <v>110000 $</v>
      </c>
      <c r="G95" s="3">
        <f>[1]Sheet1!I89</f>
        <v>110000</v>
      </c>
      <c r="H95" s="2" t="str">
        <f>[1]Sheet1!N89</f>
        <v>Full-Time</v>
      </c>
      <c r="I95" s="2" t="str">
        <f>[1]Sheet1!O89</f>
        <v>Large</v>
      </c>
      <c r="J95" s="2" t="str">
        <f>[1]Sheet1!R89</f>
        <v>United States</v>
      </c>
      <c r="K95" s="2" t="str">
        <f>[1]Sheet1!S89</f>
        <v>United States</v>
      </c>
      <c r="L95" s="1"/>
    </row>
    <row r="96" spans="2:12">
      <c r="B96">
        <f>[1]Sheet1!B90</f>
        <v>87</v>
      </c>
      <c r="C96" s="2">
        <f>[1]Sheet1!C90</f>
        <v>2021</v>
      </c>
      <c r="D96" s="2" t="str">
        <f>[1]Sheet1!F90</f>
        <v>Lead Data Analyst</v>
      </c>
      <c r="E96" s="2" t="str">
        <f>[1]Sheet1!Y89</f>
        <v>Senior-Level</v>
      </c>
      <c r="F96" s="2" t="str">
        <f>[1]Sheet1!Q90</f>
        <v>170000 $</v>
      </c>
      <c r="G96" s="3">
        <f>[1]Sheet1!I90</f>
        <v>170000</v>
      </c>
      <c r="H96" s="2" t="str">
        <f>[1]Sheet1!N90</f>
        <v>Full-Time</v>
      </c>
      <c r="I96" s="2" t="str">
        <f>[1]Sheet1!O90</f>
        <v>Large</v>
      </c>
      <c r="J96" s="2" t="str">
        <f>[1]Sheet1!R90</f>
        <v>United States</v>
      </c>
      <c r="K96" s="2" t="str">
        <f>[1]Sheet1!S90</f>
        <v>United States</v>
      </c>
      <c r="L96" s="1"/>
    </row>
    <row r="97" spans="2:12">
      <c r="B97">
        <f>[1]Sheet1!B91</f>
        <v>88</v>
      </c>
      <c r="C97" s="2">
        <f>[1]Sheet1!C91</f>
        <v>2021</v>
      </c>
      <c r="D97" s="2" t="str">
        <f>[1]Sheet1!F91</f>
        <v>Data Analyst</v>
      </c>
      <c r="E97" s="2" t="str">
        <f>[1]Sheet1!Y90</f>
        <v>Senior-Level</v>
      </c>
      <c r="F97" s="2" t="str">
        <f>[1]Sheet1!Q91</f>
        <v>80000 $</v>
      </c>
      <c r="G97" s="3">
        <f>[1]Sheet1!I91</f>
        <v>80000</v>
      </c>
      <c r="H97" s="2" t="str">
        <f>[1]Sheet1!N91</f>
        <v>Full-Time</v>
      </c>
      <c r="I97" s="2" t="str">
        <f>[1]Sheet1!O91</f>
        <v>Small</v>
      </c>
      <c r="J97" s="2" t="str">
        <f>[1]Sheet1!R91</f>
        <v>Bulgaria</v>
      </c>
      <c r="K97" s="2" t="str">
        <f>[1]Sheet1!S91</f>
        <v>United States</v>
      </c>
      <c r="L97" s="1"/>
    </row>
    <row r="98" spans="2:12">
      <c r="B98">
        <f>[1]Sheet1!B92</f>
        <v>89</v>
      </c>
      <c r="C98" s="2">
        <f>[1]Sheet1!C92</f>
        <v>2021</v>
      </c>
      <c r="D98" s="2" t="str">
        <f>[1]Sheet1!F92</f>
        <v>Marketing Data Analyst</v>
      </c>
      <c r="E98" s="2" t="str">
        <f>[1]Sheet1!Y91</f>
        <v>Senior-Level</v>
      </c>
      <c r="F98" s="2" t="str">
        <f>[1]Sheet1!Q92</f>
        <v>75000 €</v>
      </c>
      <c r="G98" s="3">
        <f>[1]Sheet1!I92</f>
        <v>88654</v>
      </c>
      <c r="H98" s="2" t="str">
        <f>[1]Sheet1!N92</f>
        <v>Full-Time</v>
      </c>
      <c r="I98" s="2" t="str">
        <f>[1]Sheet1!O92</f>
        <v>Large</v>
      </c>
      <c r="J98" s="2" t="str">
        <f>[1]Sheet1!R92</f>
        <v>Greece</v>
      </c>
      <c r="K98" s="2" t="str">
        <f>[1]Sheet1!S92</f>
        <v>Denmark</v>
      </c>
      <c r="L98" s="1"/>
    </row>
    <row r="99" spans="2:12">
      <c r="B99">
        <f>[1]Sheet1!B93</f>
        <v>90</v>
      </c>
      <c r="C99" s="2">
        <f>[1]Sheet1!C93</f>
        <v>2021</v>
      </c>
      <c r="D99" s="2" t="str">
        <f>[1]Sheet1!F93</f>
        <v>Data Science Consultant</v>
      </c>
      <c r="E99" s="2" t="str">
        <f>[1]Sheet1!Y92</f>
        <v>Entry-Level</v>
      </c>
      <c r="F99" s="2" t="str">
        <f>[1]Sheet1!Q93</f>
        <v>65000 €</v>
      </c>
      <c r="G99" s="3">
        <f>[1]Sheet1!I93</f>
        <v>76833</v>
      </c>
      <c r="H99" s="2" t="str">
        <f>[1]Sheet1!N93</f>
        <v>Full-Time</v>
      </c>
      <c r="I99" s="2" t="str">
        <f>[1]Sheet1!O93</f>
        <v>Small</v>
      </c>
      <c r="J99" s="2" t="str">
        <f>[1]Sheet1!R93</f>
        <v>Germany</v>
      </c>
      <c r="K99" s="2" t="str">
        <f>[1]Sheet1!S93</f>
        <v>Germany</v>
      </c>
      <c r="L99" s="1"/>
    </row>
    <row r="100" spans="2:12">
      <c r="B100">
        <f>[1]Sheet1!B94</f>
        <v>91</v>
      </c>
      <c r="C100" s="2">
        <f>[1]Sheet1!C94</f>
        <v>2021</v>
      </c>
      <c r="D100" s="2" t="str">
        <f>[1]Sheet1!F94</f>
        <v>Lead Data Analyst</v>
      </c>
      <c r="E100" s="2" t="str">
        <f>[1]Sheet1!Y93</f>
        <v>Mid-Level</v>
      </c>
      <c r="F100" s="2" t="str">
        <f>[1]Sheet1!Q94</f>
        <v>1450000 ₹</v>
      </c>
      <c r="G100" s="3">
        <f>[1]Sheet1!I94</f>
        <v>19609</v>
      </c>
      <c r="H100" s="2" t="str">
        <f>[1]Sheet1!N94</f>
        <v>Full-Time</v>
      </c>
      <c r="I100" s="2" t="str">
        <f>[1]Sheet1!O94</f>
        <v>Large</v>
      </c>
      <c r="J100" s="2" t="str">
        <f>[1]Sheet1!R94</f>
        <v>India</v>
      </c>
      <c r="K100" s="2" t="str">
        <f>[1]Sheet1!S94</f>
        <v>India</v>
      </c>
      <c r="L100" s="1"/>
    </row>
    <row r="101" spans="2:12">
      <c r="B101">
        <f>[1]Sheet1!B95</f>
        <v>92</v>
      </c>
      <c r="C101" s="2">
        <f>[1]Sheet1!C95</f>
        <v>2021</v>
      </c>
      <c r="D101" s="2" t="str">
        <f>[1]Sheet1!F95</f>
        <v>Lead Data Engineer</v>
      </c>
      <c r="E101" s="2" t="str">
        <f>[1]Sheet1!Y94</f>
        <v>Senior-Level</v>
      </c>
      <c r="F101" s="2" t="str">
        <f>[1]Sheet1!Q95</f>
        <v>276000 $</v>
      </c>
      <c r="G101" s="3">
        <f>[1]Sheet1!I95</f>
        <v>276000</v>
      </c>
      <c r="H101" s="2" t="str">
        <f>[1]Sheet1!N95</f>
        <v>Full-Time</v>
      </c>
      <c r="I101" s="2" t="str">
        <f>[1]Sheet1!O95</f>
        <v>Large</v>
      </c>
      <c r="J101" s="2" t="str">
        <f>[1]Sheet1!R95</f>
        <v>United States</v>
      </c>
      <c r="K101" s="2" t="str">
        <f>[1]Sheet1!S95</f>
        <v>United States</v>
      </c>
      <c r="L101" s="1"/>
    </row>
    <row r="102" spans="2:12">
      <c r="B102">
        <f>[1]Sheet1!B96</f>
        <v>93</v>
      </c>
      <c r="C102" s="2">
        <f>[1]Sheet1!C96</f>
        <v>2021</v>
      </c>
      <c r="D102" s="2" t="str">
        <f>[1]Sheet1!F96</f>
        <v>Data Scientist</v>
      </c>
      <c r="E102" s="2" t="str">
        <f>[1]Sheet1!Y95</f>
        <v>Entry-Level</v>
      </c>
      <c r="F102" s="2" t="str">
        <f>[1]Sheet1!Q96</f>
        <v>2200000 ₹</v>
      </c>
      <c r="G102" s="3">
        <f>[1]Sheet1!I96</f>
        <v>29751</v>
      </c>
      <c r="H102" s="2" t="str">
        <f>[1]Sheet1!N96</f>
        <v>Full-Time</v>
      </c>
      <c r="I102" s="2" t="str">
        <f>[1]Sheet1!O96</f>
        <v>Large</v>
      </c>
      <c r="J102" s="2" t="str">
        <f>[1]Sheet1!R96</f>
        <v>India</v>
      </c>
      <c r="K102" s="2" t="str">
        <f>[1]Sheet1!S96</f>
        <v>India</v>
      </c>
      <c r="L102" s="1"/>
    </row>
    <row r="103" spans="2:12">
      <c r="B103">
        <f>[1]Sheet1!B97</f>
        <v>94</v>
      </c>
      <c r="C103" s="2">
        <f>[1]Sheet1!C97</f>
        <v>2021</v>
      </c>
      <c r="D103" s="2" t="str">
        <f>[1]Sheet1!F97</f>
        <v>Cloud Data Engineer</v>
      </c>
      <c r="E103" s="2" t="str">
        <f>[1]Sheet1!Y96</f>
        <v>Mid-Level</v>
      </c>
      <c r="F103" s="2" t="str">
        <f>[1]Sheet1!Q97</f>
        <v>120000 S$</v>
      </c>
      <c r="G103" s="3">
        <f>[1]Sheet1!I97</f>
        <v>89294</v>
      </c>
      <c r="H103" s="2" t="str">
        <f>[1]Sheet1!N97</f>
        <v>Full-Time</v>
      </c>
      <c r="I103" s="2" t="str">
        <f>[1]Sheet1!O97</f>
        <v>Large</v>
      </c>
      <c r="J103" s="2" t="str">
        <f>[1]Sheet1!R97</f>
        <v>Singapore</v>
      </c>
      <c r="K103" s="2" t="str">
        <f>[1]Sheet1!S97</f>
        <v>Singapore</v>
      </c>
      <c r="L103" s="1"/>
    </row>
    <row r="104" spans="2:12">
      <c r="B104">
        <f>[1]Sheet1!B98</f>
        <v>95</v>
      </c>
      <c r="C104" s="2">
        <f>[1]Sheet1!C98</f>
        <v>2021</v>
      </c>
      <c r="D104" s="2" t="str">
        <f>[1]Sheet1!F98</f>
        <v>AI Scientist</v>
      </c>
      <c r="E104" s="2" t="str">
        <f>[1]Sheet1!Y97</f>
        <v>Entry-Level</v>
      </c>
      <c r="F104" s="2" t="str">
        <f>[1]Sheet1!Q98</f>
        <v>12000 $</v>
      </c>
      <c r="G104" s="3">
        <f>[1]Sheet1!I98</f>
        <v>12000</v>
      </c>
      <c r="H104" s="2" t="str">
        <f>[1]Sheet1!N98</f>
        <v>Part-Time</v>
      </c>
      <c r="I104" s="2" t="str">
        <f>[1]Sheet1!O98</f>
        <v>Small</v>
      </c>
      <c r="J104" s="2" t="str">
        <f>[1]Sheet1!R98</f>
        <v>Brazil</v>
      </c>
      <c r="K104" s="2" t="str">
        <f>[1]Sheet1!S98</f>
        <v>United States</v>
      </c>
      <c r="L104" s="1"/>
    </row>
    <row r="105" spans="2:12">
      <c r="B105">
        <f>[1]Sheet1!B99</f>
        <v>96</v>
      </c>
      <c r="C105" s="2">
        <f>[1]Sheet1!C99</f>
        <v>2021</v>
      </c>
      <c r="D105" s="2" t="str">
        <f>[1]Sheet1!F99</f>
        <v>Financial Data Analyst</v>
      </c>
      <c r="E105" s="2" t="str">
        <f>[1]Sheet1!Y98</f>
        <v>Mid-Level</v>
      </c>
      <c r="F105" s="2" t="str">
        <f>[1]Sheet1!Q99</f>
        <v>450000 $</v>
      </c>
      <c r="G105" s="3">
        <f>[1]Sheet1!I99</f>
        <v>450000</v>
      </c>
      <c r="H105" s="2" t="str">
        <f>[1]Sheet1!N99</f>
        <v>Full-Time</v>
      </c>
      <c r="I105" s="2" t="str">
        <f>[1]Sheet1!O99</f>
        <v>Large</v>
      </c>
      <c r="J105" s="2" t="str">
        <f>[1]Sheet1!R99</f>
        <v>United States</v>
      </c>
      <c r="K105" s="2" t="str">
        <f>[1]Sheet1!S99</f>
        <v>United States</v>
      </c>
      <c r="L105" s="1"/>
    </row>
    <row r="106" spans="2:12">
      <c r="B106">
        <f>[1]Sheet1!B100</f>
        <v>97</v>
      </c>
      <c r="C106" s="2">
        <f>[1]Sheet1!C100</f>
        <v>2021</v>
      </c>
      <c r="D106" s="2" t="str">
        <f>[1]Sheet1!F100</f>
        <v>Computer Vision Software Engineer</v>
      </c>
      <c r="E106" s="2" t="str">
        <f>[1]Sheet1!Y99</f>
        <v>Entry-Level</v>
      </c>
      <c r="F106" s="2" t="str">
        <f>[1]Sheet1!Q100</f>
        <v>70000 $</v>
      </c>
      <c r="G106" s="3">
        <f>[1]Sheet1!I100</f>
        <v>70000</v>
      </c>
      <c r="H106" s="2" t="str">
        <f>[1]Sheet1!N100</f>
        <v>Full-Time</v>
      </c>
      <c r="I106" s="2" t="str">
        <f>[1]Sheet1!O100</f>
        <v>Contract</v>
      </c>
      <c r="J106" s="2" t="str">
        <f>[1]Sheet1!R100</f>
        <v>United States</v>
      </c>
      <c r="K106" s="2" t="str">
        <f>[1]Sheet1!S100</f>
        <v>United States</v>
      </c>
      <c r="L106" s="1"/>
    </row>
    <row r="107" spans="2:12">
      <c r="B107">
        <f>[1]Sheet1!B101</f>
        <v>98</v>
      </c>
      <c r="C107" s="2">
        <f>[1]Sheet1!C101</f>
        <v>2021</v>
      </c>
      <c r="D107" s="2" t="str">
        <f>[1]Sheet1!F101</f>
        <v>Computer Vision Software Engineer</v>
      </c>
      <c r="E107" s="2" t="str">
        <f>[1]Sheet1!Y100</f>
        <v>Mid-Level</v>
      </c>
      <c r="F107" s="2" t="str">
        <f>[1]Sheet1!Q101</f>
        <v>81000 €</v>
      </c>
      <c r="G107" s="3">
        <f>[1]Sheet1!I101</f>
        <v>95746</v>
      </c>
      <c r="H107" s="2" t="str">
        <f>[1]Sheet1!N101</f>
        <v>Full-Time</v>
      </c>
      <c r="I107" s="2" t="str">
        <f>[1]Sheet1!O101</f>
        <v>Small</v>
      </c>
      <c r="J107" s="2" t="str">
        <f>[1]Sheet1!R101</f>
        <v>Germany</v>
      </c>
      <c r="K107" s="2" t="str">
        <f>[1]Sheet1!S101</f>
        <v>United States</v>
      </c>
      <c r="L107" s="1"/>
    </row>
    <row r="108" spans="2:12">
      <c r="B108">
        <f>[1]Sheet1!B102</f>
        <v>99</v>
      </c>
      <c r="C108" s="2">
        <f>[1]Sheet1!C102</f>
        <v>2021</v>
      </c>
      <c r="D108" s="2" t="str">
        <f>[1]Sheet1!F102</f>
        <v>Data Analyst</v>
      </c>
      <c r="E108" s="2" t="str">
        <f>[1]Sheet1!Y101</f>
        <v>Mid-Level</v>
      </c>
      <c r="F108" s="2" t="str">
        <f>[1]Sheet1!Q102</f>
        <v>75000 $</v>
      </c>
      <c r="G108" s="3">
        <f>[1]Sheet1!I102</f>
        <v>75000</v>
      </c>
      <c r="H108" s="2" t="str">
        <f>[1]Sheet1!N102</f>
        <v>Full-Time</v>
      </c>
      <c r="I108" s="2" t="str">
        <f>[1]Sheet1!O102</f>
        <v>Large</v>
      </c>
      <c r="J108" s="2" t="str">
        <f>[1]Sheet1!R102</f>
        <v>United States</v>
      </c>
      <c r="K108" s="2" t="str">
        <f>[1]Sheet1!S102</f>
        <v>United States</v>
      </c>
      <c r="L108" s="1"/>
    </row>
    <row r="109" spans="2:12">
      <c r="B109">
        <f>[1]Sheet1!B103</f>
        <v>100</v>
      </c>
      <c r="C109" s="2">
        <f>[1]Sheet1!C103</f>
        <v>2021</v>
      </c>
      <c r="D109" s="2" t="str">
        <f>[1]Sheet1!F103</f>
        <v>Data Engineer</v>
      </c>
      <c r="E109" s="2" t="str">
        <f>[1]Sheet1!Y102</f>
        <v>Senior-Level</v>
      </c>
      <c r="F109" s="2" t="str">
        <f>[1]Sheet1!Q103</f>
        <v>150000 $</v>
      </c>
      <c r="G109" s="3">
        <f>[1]Sheet1!I103</f>
        <v>150000</v>
      </c>
      <c r="H109" s="2" t="str">
        <f>[1]Sheet1!N103</f>
        <v>Full-Time</v>
      </c>
      <c r="I109" s="2" t="str">
        <f>[1]Sheet1!O103</f>
        <v>Large</v>
      </c>
      <c r="J109" s="2" t="str">
        <f>[1]Sheet1!R103</f>
        <v>United States</v>
      </c>
      <c r="K109" s="2" t="str">
        <f>[1]Sheet1!S103</f>
        <v>United States</v>
      </c>
      <c r="L109" s="1"/>
    </row>
    <row r="110" spans="2:12">
      <c r="B110">
        <f>[1]Sheet1!B104</f>
        <v>101</v>
      </c>
      <c r="C110" s="2">
        <f>[1]Sheet1!C104</f>
        <v>2021</v>
      </c>
      <c r="D110" s="2" t="str">
        <f>[1]Sheet1!F104</f>
        <v>BI Data Analyst</v>
      </c>
      <c r="E110" s="2" t="str">
        <f>[1]Sheet1!Y103</f>
        <v>Mid-Level</v>
      </c>
      <c r="F110" s="2" t="str">
        <f>[1]Sheet1!Q104</f>
        <v>11000000 Ft</v>
      </c>
      <c r="G110" s="3">
        <f>[1]Sheet1!I104</f>
        <v>36259</v>
      </c>
      <c r="H110" s="2" t="str">
        <f>[1]Sheet1!N104</f>
        <v>Full-Time</v>
      </c>
      <c r="I110" s="2" t="str">
        <f>[1]Sheet1!O104</f>
        <v>Large</v>
      </c>
      <c r="J110" s="2" t="str">
        <f>[1]Sheet1!R104</f>
        <v>Hungary</v>
      </c>
      <c r="K110" s="2" t="str">
        <f>[1]Sheet1!S104</f>
        <v>United States</v>
      </c>
      <c r="L110" s="1"/>
    </row>
    <row r="111" spans="2:12">
      <c r="B111">
        <f>[1]Sheet1!B105</f>
        <v>102</v>
      </c>
      <c r="C111" s="2">
        <f>[1]Sheet1!C105</f>
        <v>2021</v>
      </c>
      <c r="D111" s="2" t="str">
        <f>[1]Sheet1!F105</f>
        <v>Data Analyst</v>
      </c>
      <c r="E111" s="2" t="str">
        <f>[1]Sheet1!Y104</f>
        <v>Mid-Level</v>
      </c>
      <c r="F111" s="2" t="str">
        <f>[1]Sheet1!Q105</f>
        <v>62000 $</v>
      </c>
      <c r="G111" s="3">
        <f>[1]Sheet1!I105</f>
        <v>62000</v>
      </c>
      <c r="H111" s="2" t="str">
        <f>[1]Sheet1!N105</f>
        <v>Full-Time</v>
      </c>
      <c r="I111" s="2" t="str">
        <f>[1]Sheet1!O105</f>
        <v>Large</v>
      </c>
      <c r="J111" s="2" t="str">
        <f>[1]Sheet1!R105</f>
        <v>United States</v>
      </c>
      <c r="K111" s="2" t="str">
        <f>[1]Sheet1!S105</f>
        <v>United States</v>
      </c>
      <c r="L111" s="1"/>
    </row>
    <row r="112" spans="2:12">
      <c r="B112">
        <f>[1]Sheet1!B106</f>
        <v>103</v>
      </c>
      <c r="C112" s="2">
        <f>[1]Sheet1!C106</f>
        <v>2021</v>
      </c>
      <c r="D112" s="2" t="str">
        <f>[1]Sheet1!F106</f>
        <v>Data Scientist</v>
      </c>
      <c r="E112" s="2" t="str">
        <f>[1]Sheet1!Y105</f>
        <v>Mid-Level</v>
      </c>
      <c r="F112" s="2" t="str">
        <f>[1]Sheet1!Q106</f>
        <v>73000 $</v>
      </c>
      <c r="G112" s="3">
        <f>[1]Sheet1!I106</f>
        <v>73000</v>
      </c>
      <c r="H112" s="2" t="str">
        <f>[1]Sheet1!N106</f>
        <v>Full-Time</v>
      </c>
      <c r="I112" s="2" t="str">
        <f>[1]Sheet1!O106</f>
        <v>Large</v>
      </c>
      <c r="J112" s="2" t="str">
        <f>[1]Sheet1!R106</f>
        <v>United States</v>
      </c>
      <c r="K112" s="2" t="str">
        <f>[1]Sheet1!S106</f>
        <v>United States</v>
      </c>
      <c r="L112" s="1"/>
    </row>
    <row r="113" spans="2:12">
      <c r="B113">
        <f>[1]Sheet1!B107</f>
        <v>104</v>
      </c>
      <c r="C113" s="2">
        <f>[1]Sheet1!C107</f>
        <v>2021</v>
      </c>
      <c r="D113" s="2" t="str">
        <f>[1]Sheet1!F107</f>
        <v>Data Analyst</v>
      </c>
      <c r="E113" s="2" t="str">
        <f>[1]Sheet1!Y106</f>
        <v>Mid-Level</v>
      </c>
      <c r="F113" s="2" t="str">
        <f>[1]Sheet1!Q107</f>
        <v>37456 £</v>
      </c>
      <c r="G113" s="3">
        <f>[1]Sheet1!I107</f>
        <v>51519</v>
      </c>
      <c r="H113" s="2" t="str">
        <f>[1]Sheet1!N107</f>
        <v>Full-Time</v>
      </c>
      <c r="I113" s="2" t="str">
        <f>[1]Sheet1!O107</f>
        <v>Large</v>
      </c>
      <c r="J113" s="2" t="str">
        <f>[1]Sheet1!R107</f>
        <v>United Kingdom</v>
      </c>
      <c r="K113" s="2" t="str">
        <f>[1]Sheet1!S107</f>
        <v>United Kingdom</v>
      </c>
      <c r="L113" s="1"/>
    </row>
    <row r="114" spans="2:12">
      <c r="B114">
        <f>[1]Sheet1!B108</f>
        <v>105</v>
      </c>
      <c r="C114" s="2">
        <f>[1]Sheet1!C108</f>
        <v>2021</v>
      </c>
      <c r="D114" s="2" t="str">
        <f>[1]Sheet1!F108</f>
        <v>Research Scientist</v>
      </c>
      <c r="E114" s="2" t="str">
        <f>[1]Sheet1!Y107</f>
        <v>Mid-Level</v>
      </c>
      <c r="F114" s="2" t="str">
        <f>[1]Sheet1!Q108</f>
        <v>235000 C$</v>
      </c>
      <c r="G114" s="3">
        <f>[1]Sheet1!I108</f>
        <v>187442</v>
      </c>
      <c r="H114" s="2" t="str">
        <f>[1]Sheet1!N108</f>
        <v>Full-Time</v>
      </c>
      <c r="I114" s="2" t="str">
        <f>[1]Sheet1!O108</f>
        <v>Large</v>
      </c>
      <c r="J114" s="2" t="str">
        <f>[1]Sheet1!R108</f>
        <v>Canada</v>
      </c>
      <c r="K114" s="2" t="str">
        <f>[1]Sheet1!S108</f>
        <v>Canada</v>
      </c>
      <c r="L114" s="1"/>
    </row>
    <row r="115" spans="2:12">
      <c r="B115">
        <f>[1]Sheet1!B109</f>
        <v>106</v>
      </c>
      <c r="C115" s="2">
        <f>[1]Sheet1!C109</f>
        <v>2021</v>
      </c>
      <c r="D115" s="2" t="str">
        <f>[1]Sheet1!F109</f>
        <v>Data Engineer</v>
      </c>
      <c r="E115" s="2" t="str">
        <f>[1]Sheet1!Y108</f>
        <v>Senior-Level</v>
      </c>
      <c r="F115" s="2" t="str">
        <f>[1]Sheet1!Q109</f>
        <v>115000 $</v>
      </c>
      <c r="G115" s="3">
        <f>[1]Sheet1!I109</f>
        <v>115000</v>
      </c>
      <c r="H115" s="2" t="str">
        <f>[1]Sheet1!N109</f>
        <v>Full-Time</v>
      </c>
      <c r="I115" s="2" t="str">
        <f>[1]Sheet1!O109</f>
        <v>Small</v>
      </c>
      <c r="J115" s="2" t="str">
        <f>[1]Sheet1!R109</f>
        <v>United States</v>
      </c>
      <c r="K115" s="2" t="str">
        <f>[1]Sheet1!S109</f>
        <v>United States</v>
      </c>
      <c r="L115" s="1"/>
    </row>
    <row r="116" spans="2:12">
      <c r="B116">
        <f>[1]Sheet1!B110</f>
        <v>107</v>
      </c>
      <c r="C116" s="2">
        <f>[1]Sheet1!C110</f>
        <v>2021</v>
      </c>
      <c r="D116" s="2" t="str">
        <f>[1]Sheet1!F110</f>
        <v>Data Engineer</v>
      </c>
      <c r="E116" s="2" t="str">
        <f>[1]Sheet1!Y109</f>
        <v>Entry-Level</v>
      </c>
      <c r="F116" s="2" t="str">
        <f>[1]Sheet1!Q110</f>
        <v>2250000 ₹</v>
      </c>
      <c r="G116" s="3">
        <f>[1]Sheet1!I110</f>
        <v>30428</v>
      </c>
      <c r="H116" s="2" t="str">
        <f>[1]Sheet1!N110</f>
        <v>Full-Time</v>
      </c>
      <c r="I116" s="2" t="str">
        <f>[1]Sheet1!O110</f>
        <v>Large</v>
      </c>
      <c r="J116" s="2" t="str">
        <f>[1]Sheet1!R110</f>
        <v>India</v>
      </c>
      <c r="K116" s="2" t="str">
        <f>[1]Sheet1!S110</f>
        <v>India</v>
      </c>
      <c r="L116" s="1"/>
    </row>
    <row r="117" spans="2:12">
      <c r="B117">
        <f>[1]Sheet1!B111</f>
        <v>108</v>
      </c>
      <c r="C117" s="2">
        <f>[1]Sheet1!C111</f>
        <v>2021</v>
      </c>
      <c r="D117" s="2" t="str">
        <f>[1]Sheet1!F111</f>
        <v>Machine Learning Engineer</v>
      </c>
      <c r="E117" s="2" t="str">
        <f>[1]Sheet1!Y110</f>
        <v>Senior-Level</v>
      </c>
      <c r="F117" s="2" t="str">
        <f>[1]Sheet1!Q111</f>
        <v>80000 €</v>
      </c>
      <c r="G117" s="3">
        <f>[1]Sheet1!I111</f>
        <v>94564</v>
      </c>
      <c r="H117" s="2" t="str">
        <f>[1]Sheet1!N111</f>
        <v>Full-Time</v>
      </c>
      <c r="I117" s="2" t="str">
        <f>[1]Sheet1!O111</f>
        <v>Large</v>
      </c>
      <c r="J117" s="2" t="str">
        <f>[1]Sheet1!R111</f>
        <v>Germany</v>
      </c>
      <c r="K117" s="2" t="str">
        <f>[1]Sheet1!S111</f>
        <v>Germany</v>
      </c>
      <c r="L117" s="1"/>
    </row>
    <row r="118" spans="2:12">
      <c r="B118">
        <f>[1]Sheet1!B112</f>
        <v>109</v>
      </c>
      <c r="C118" s="2">
        <f>[1]Sheet1!C112</f>
        <v>2021</v>
      </c>
      <c r="D118" s="2" t="str">
        <f>[1]Sheet1!F112</f>
        <v>Director of Data Engineering</v>
      </c>
      <c r="E118" s="2" t="str">
        <f>[1]Sheet1!Y111</f>
        <v>Senior-Level</v>
      </c>
      <c r="F118" s="2" t="str">
        <f>[1]Sheet1!Q112</f>
        <v>82500 £</v>
      </c>
      <c r="G118" s="3">
        <f>[1]Sheet1!I112</f>
        <v>113476</v>
      </c>
      <c r="H118" s="2" t="str">
        <f>[1]Sheet1!N112</f>
        <v>Full-Time</v>
      </c>
      <c r="I118" s="2" t="str">
        <f>[1]Sheet1!O112</f>
        <v>Contract</v>
      </c>
      <c r="J118" s="2" t="str">
        <f>[1]Sheet1!R112</f>
        <v>United Kingdom</v>
      </c>
      <c r="K118" s="2" t="str">
        <f>[1]Sheet1!S112</f>
        <v>United Kingdom</v>
      </c>
      <c r="L118" s="1"/>
    </row>
    <row r="119" spans="2:12">
      <c r="B119">
        <f>[1]Sheet1!B113</f>
        <v>110</v>
      </c>
      <c r="C119" s="2">
        <f>[1]Sheet1!C113</f>
        <v>2021</v>
      </c>
      <c r="D119" s="2" t="str">
        <f>[1]Sheet1!F113</f>
        <v>Lead Data Engineer</v>
      </c>
      <c r="E119" s="2" t="str">
        <f>[1]Sheet1!Y112</f>
        <v>Senior-Level</v>
      </c>
      <c r="F119" s="2" t="str">
        <f>[1]Sheet1!Q113</f>
        <v>75000 £</v>
      </c>
      <c r="G119" s="3">
        <f>[1]Sheet1!I113</f>
        <v>103160</v>
      </c>
      <c r="H119" s="2" t="str">
        <f>[1]Sheet1!N113</f>
        <v>Full-Time</v>
      </c>
      <c r="I119" s="2" t="str">
        <f>[1]Sheet1!O113</f>
        <v>Small</v>
      </c>
      <c r="J119" s="2" t="str">
        <f>[1]Sheet1!R113</f>
        <v>United Kingdom</v>
      </c>
      <c r="K119" s="2" t="str">
        <f>[1]Sheet1!S113</f>
        <v>United Kingdom</v>
      </c>
      <c r="L119" s="1"/>
    </row>
    <row r="120" spans="2:12">
      <c r="B120">
        <f>[1]Sheet1!B114</f>
        <v>111</v>
      </c>
      <c r="C120" s="2">
        <f>[1]Sheet1!C114</f>
        <v>2021</v>
      </c>
      <c r="D120" s="2" t="str">
        <f>[1]Sheet1!F114</f>
        <v>AI Scientist</v>
      </c>
      <c r="E120" s="2" t="str">
        <f>[1]Sheet1!Y113</f>
        <v>Entry-Level</v>
      </c>
      <c r="F120" s="2" t="str">
        <f>[1]Sheet1!Q114</f>
        <v>12000 $</v>
      </c>
      <c r="G120" s="3">
        <f>[1]Sheet1!I114</f>
        <v>12000</v>
      </c>
      <c r="H120" s="2" t="str">
        <f>[1]Sheet1!N114</f>
        <v>Part-Time</v>
      </c>
      <c r="I120" s="2" t="str">
        <f>[1]Sheet1!O114</f>
        <v>Contract</v>
      </c>
      <c r="J120" s="2" t="str">
        <f>[1]Sheet1!R114</f>
        <v>Pakistan</v>
      </c>
      <c r="K120" s="2" t="str">
        <f>[1]Sheet1!S114</f>
        <v>United States</v>
      </c>
      <c r="L120" s="1"/>
    </row>
    <row r="121" spans="2:12">
      <c r="B121">
        <f>[1]Sheet1!B115</f>
        <v>112</v>
      </c>
      <c r="C121" s="2">
        <f>[1]Sheet1!C115</f>
        <v>2021</v>
      </c>
      <c r="D121" s="2" t="str">
        <f>[1]Sheet1!F115</f>
        <v>Data Engineer</v>
      </c>
      <c r="E121" s="2" t="str">
        <f>[1]Sheet1!Y114</f>
        <v>Mid-Level</v>
      </c>
      <c r="F121" s="2" t="str">
        <f>[1]Sheet1!Q115</f>
        <v>38400 €</v>
      </c>
      <c r="G121" s="3">
        <f>[1]Sheet1!I115</f>
        <v>45391</v>
      </c>
      <c r="H121" s="2" t="str">
        <f>[1]Sheet1!N115</f>
        <v>Full-Time</v>
      </c>
      <c r="I121" s="2" t="str">
        <f>[1]Sheet1!O115</f>
        <v>Large</v>
      </c>
      <c r="J121" s="2" t="str">
        <f>[1]Sheet1!R115</f>
        <v>Netherlands</v>
      </c>
      <c r="K121" s="2" t="str">
        <f>[1]Sheet1!S115</f>
        <v>Netherlands</v>
      </c>
      <c r="L121" s="1"/>
    </row>
    <row r="122" spans="2:12">
      <c r="B122">
        <f>[1]Sheet1!B116</f>
        <v>113</v>
      </c>
      <c r="C122" s="2">
        <f>[1]Sheet1!C116</f>
        <v>2021</v>
      </c>
      <c r="D122" s="2" t="str">
        <f>[1]Sheet1!F116</f>
        <v>Machine Learning Scientist</v>
      </c>
      <c r="E122" s="2" t="str">
        <f>[1]Sheet1!Y115</f>
        <v>Entry-Level</v>
      </c>
      <c r="F122" s="2" t="str">
        <f>[1]Sheet1!Q116</f>
        <v>225000 $</v>
      </c>
      <c r="G122" s="3">
        <f>[1]Sheet1!I116</f>
        <v>225000</v>
      </c>
      <c r="H122" s="2" t="str">
        <f>[1]Sheet1!N116</f>
        <v>Full-Time</v>
      </c>
      <c r="I122" s="2" t="str">
        <f>[1]Sheet1!O116</f>
        <v>Large</v>
      </c>
      <c r="J122" s="2" t="str">
        <f>[1]Sheet1!R116</f>
        <v>United States</v>
      </c>
      <c r="K122" s="2" t="str">
        <f>[1]Sheet1!S116</f>
        <v>United States</v>
      </c>
      <c r="L122" s="1"/>
    </row>
    <row r="123" spans="2:12">
      <c r="B123">
        <f>[1]Sheet1!B117</f>
        <v>114</v>
      </c>
      <c r="C123" s="2">
        <f>[1]Sheet1!C117</f>
        <v>2021</v>
      </c>
      <c r="D123" s="2" t="str">
        <f>[1]Sheet1!F117</f>
        <v>Data Scientist</v>
      </c>
      <c r="E123" s="2" t="str">
        <f>[1]Sheet1!Y116</f>
        <v>Mid-Level</v>
      </c>
      <c r="F123" s="2" t="str">
        <f>[1]Sheet1!Q117</f>
        <v>50000 $</v>
      </c>
      <c r="G123" s="3">
        <f>[1]Sheet1!I117</f>
        <v>50000</v>
      </c>
      <c r="H123" s="2" t="str">
        <f>[1]Sheet1!N117</f>
        <v>Full-Time</v>
      </c>
      <c r="I123" s="2" t="str">
        <f>[1]Sheet1!O117</f>
        <v>Large</v>
      </c>
      <c r="J123" s="2" t="str">
        <f>[1]Sheet1!R117</f>
        <v>Nigeria</v>
      </c>
      <c r="K123" s="2" t="str">
        <f>[1]Sheet1!S117</f>
        <v>Nigeria</v>
      </c>
      <c r="L123" s="1"/>
    </row>
    <row r="124" spans="2:12">
      <c r="B124">
        <f>[1]Sheet1!B118</f>
        <v>115</v>
      </c>
      <c r="C124" s="2">
        <f>[1]Sheet1!C118</f>
        <v>2021</v>
      </c>
      <c r="D124" s="2" t="str">
        <f>[1]Sheet1!F118</f>
        <v>Data Science Engineer</v>
      </c>
      <c r="E124" s="2" t="str">
        <f>[1]Sheet1!Y117</f>
        <v>Mid-Level</v>
      </c>
      <c r="F124" s="2" t="str">
        <f>[1]Sheet1!Q118</f>
        <v>34000 €</v>
      </c>
      <c r="G124" s="3">
        <f>[1]Sheet1!I118</f>
        <v>40189</v>
      </c>
      <c r="H124" s="2" t="str">
        <f>[1]Sheet1!N118</f>
        <v>Full-Time</v>
      </c>
      <c r="I124" s="2" t="str">
        <f>[1]Sheet1!O118</f>
        <v>Contract</v>
      </c>
      <c r="J124" s="2" t="str">
        <f>[1]Sheet1!R118</f>
        <v>Greece</v>
      </c>
      <c r="K124" s="2" t="str">
        <f>[1]Sheet1!S118</f>
        <v>Greece</v>
      </c>
      <c r="L124" s="1"/>
    </row>
    <row r="125" spans="2:12">
      <c r="B125">
        <f>[1]Sheet1!B119</f>
        <v>116</v>
      </c>
      <c r="C125" s="2">
        <f>[1]Sheet1!C119</f>
        <v>2021</v>
      </c>
      <c r="D125" s="2" t="str">
        <f>[1]Sheet1!F119</f>
        <v>Data Analyst</v>
      </c>
      <c r="E125" s="2" t="str">
        <f>[1]Sheet1!Y118</f>
        <v>Entry-Level</v>
      </c>
      <c r="F125" s="2" t="str">
        <f>[1]Sheet1!Q119</f>
        <v>90000 $</v>
      </c>
      <c r="G125" s="3">
        <f>[1]Sheet1!I119</f>
        <v>90000</v>
      </c>
      <c r="H125" s="2" t="str">
        <f>[1]Sheet1!N119</f>
        <v>Full-Time</v>
      </c>
      <c r="I125" s="2" t="str">
        <f>[1]Sheet1!O119</f>
        <v>Small</v>
      </c>
      <c r="J125" s="2" t="str">
        <f>[1]Sheet1!R119</f>
        <v>United States</v>
      </c>
      <c r="K125" s="2" t="str">
        <f>[1]Sheet1!S119</f>
        <v>United States</v>
      </c>
      <c r="L125" s="1"/>
    </row>
    <row r="126" spans="2:12">
      <c r="B126">
        <f>[1]Sheet1!B120</f>
        <v>117</v>
      </c>
      <c r="C126" s="2">
        <f>[1]Sheet1!C120</f>
        <v>2021</v>
      </c>
      <c r="D126" s="2" t="str">
        <f>[1]Sheet1!F120</f>
        <v>Data Engineer</v>
      </c>
      <c r="E126" s="2" t="str">
        <f>[1]Sheet1!Y119</f>
        <v>Mid-Level</v>
      </c>
      <c r="F126" s="2" t="str">
        <f>[1]Sheet1!Q120</f>
        <v>200000 $</v>
      </c>
      <c r="G126" s="3">
        <f>[1]Sheet1!I120</f>
        <v>200000</v>
      </c>
      <c r="H126" s="2" t="str">
        <f>[1]Sheet1!N120</f>
        <v>Full-Time</v>
      </c>
      <c r="I126" s="2" t="str">
        <f>[1]Sheet1!O120</f>
        <v>Large</v>
      </c>
      <c r="J126" s="2" t="str">
        <f>[1]Sheet1!R120</f>
        <v>United States</v>
      </c>
      <c r="K126" s="2" t="str">
        <f>[1]Sheet1!S120</f>
        <v>United States</v>
      </c>
      <c r="L126" s="1"/>
    </row>
    <row r="127" spans="2:12">
      <c r="B127">
        <f>[1]Sheet1!B121</f>
        <v>118</v>
      </c>
      <c r="C127" s="2">
        <f>[1]Sheet1!C121</f>
        <v>2021</v>
      </c>
      <c r="D127" s="2" t="str">
        <f>[1]Sheet1!F121</f>
        <v>Big Data Engineer</v>
      </c>
      <c r="E127" s="2" t="str">
        <f>[1]Sheet1!Y120</f>
        <v>Mid-Level</v>
      </c>
      <c r="F127" s="2" t="str">
        <f>[1]Sheet1!Q121</f>
        <v>60000 $</v>
      </c>
      <c r="G127" s="3">
        <f>[1]Sheet1!I121</f>
        <v>60000</v>
      </c>
      <c r="H127" s="2" t="str">
        <f>[1]Sheet1!N121</f>
        <v>Full-Time</v>
      </c>
      <c r="I127" s="2" t="str">
        <f>[1]Sheet1!O121</f>
        <v>Contract</v>
      </c>
      <c r="J127" s="2" t="str">
        <f>[1]Sheet1!R121</f>
        <v>Spain</v>
      </c>
      <c r="K127" s="2" t="str">
        <f>[1]Sheet1!S121</f>
        <v>Romania</v>
      </c>
      <c r="L127" s="1"/>
    </row>
    <row r="128" spans="2:12">
      <c r="B128">
        <f>[1]Sheet1!B122</f>
        <v>119</v>
      </c>
      <c r="C128" s="2">
        <f>[1]Sheet1!C122</f>
        <v>2021</v>
      </c>
      <c r="D128" s="2" t="str">
        <f>[1]Sheet1!F122</f>
        <v>Principal Data Engineer</v>
      </c>
      <c r="E128" s="2" t="str">
        <f>[1]Sheet1!Y121</f>
        <v>Senior-Level</v>
      </c>
      <c r="F128" s="2" t="str">
        <f>[1]Sheet1!Q122</f>
        <v>200000 $</v>
      </c>
      <c r="G128" s="3">
        <f>[1]Sheet1!I122</f>
        <v>200000</v>
      </c>
      <c r="H128" s="2" t="str">
        <f>[1]Sheet1!N122</f>
        <v>Full-Time</v>
      </c>
      <c r="I128" s="2" t="str">
        <f>[1]Sheet1!O122</f>
        <v>Contract</v>
      </c>
      <c r="J128" s="2" t="str">
        <f>[1]Sheet1!R122</f>
        <v>United States</v>
      </c>
      <c r="K128" s="2" t="str">
        <f>[1]Sheet1!S122</f>
        <v>United States</v>
      </c>
      <c r="L128" s="1"/>
    </row>
    <row r="129" spans="2:12">
      <c r="B129">
        <f>[1]Sheet1!B123</f>
        <v>120</v>
      </c>
      <c r="C129" s="2">
        <f>[1]Sheet1!C123</f>
        <v>2021</v>
      </c>
      <c r="D129" s="2" t="str">
        <f>[1]Sheet1!F123</f>
        <v>Data Analyst</v>
      </c>
      <c r="E129" s="2" t="str">
        <f>[1]Sheet1!Y122</f>
        <v>Entry-Level</v>
      </c>
      <c r="F129" s="2" t="str">
        <f>[1]Sheet1!Q123</f>
        <v>50000 $</v>
      </c>
      <c r="G129" s="3">
        <f>[1]Sheet1!I123</f>
        <v>50000</v>
      </c>
      <c r="H129" s="2" t="str">
        <f>[1]Sheet1!N123</f>
        <v>Full-Time</v>
      </c>
      <c r="I129" s="2" t="str">
        <f>[1]Sheet1!O123</f>
        <v>Contract</v>
      </c>
      <c r="J129" s="2" t="str">
        <f>[1]Sheet1!R123</f>
        <v>United States</v>
      </c>
      <c r="K129" s="2" t="str">
        <f>[1]Sheet1!S123</f>
        <v>United States</v>
      </c>
      <c r="L129" s="1"/>
    </row>
    <row r="130" spans="2:12">
      <c r="B130">
        <f>[1]Sheet1!B124</f>
        <v>121</v>
      </c>
      <c r="C130" s="2">
        <f>[1]Sheet1!C124</f>
        <v>2021</v>
      </c>
      <c r="D130" s="2" t="str">
        <f>[1]Sheet1!F124</f>
        <v>Applied Data Scientist</v>
      </c>
      <c r="E130" s="2" t="str">
        <f>[1]Sheet1!Y123</f>
        <v>Entry-Level</v>
      </c>
      <c r="F130" s="2" t="str">
        <f>[1]Sheet1!Q124</f>
        <v>80000 £</v>
      </c>
      <c r="G130" s="3">
        <f>[1]Sheet1!I124</f>
        <v>110037</v>
      </c>
      <c r="H130" s="2" t="str">
        <f>[1]Sheet1!N124</f>
        <v>Full-Time</v>
      </c>
      <c r="I130" s="2" t="str">
        <f>[1]Sheet1!O124</f>
        <v>Large</v>
      </c>
      <c r="J130" s="2" t="str">
        <f>[1]Sheet1!R124</f>
        <v>United Kingdom</v>
      </c>
      <c r="K130" s="2" t="str">
        <f>[1]Sheet1!S124</f>
        <v>United Kingdom</v>
      </c>
      <c r="L130" s="1"/>
    </row>
    <row r="131" spans="2:12">
      <c r="B131">
        <f>[1]Sheet1!B125</f>
        <v>122</v>
      </c>
      <c r="C131" s="2">
        <f>[1]Sheet1!C125</f>
        <v>2021</v>
      </c>
      <c r="D131" s="2" t="str">
        <f>[1]Sheet1!F125</f>
        <v>Data Analyst</v>
      </c>
      <c r="E131" s="2" t="str">
        <f>[1]Sheet1!Y124</f>
        <v>Entry-Level</v>
      </c>
      <c r="F131" s="2" t="str">
        <f>[1]Sheet1!Q125</f>
        <v>8760 €</v>
      </c>
      <c r="G131" s="3">
        <f>[1]Sheet1!I125</f>
        <v>10354</v>
      </c>
      <c r="H131" s="2" t="str">
        <f>[1]Sheet1!N125</f>
        <v>Part-Time</v>
      </c>
      <c r="I131" s="2" t="str">
        <f>[1]Sheet1!O125</f>
        <v>Contract</v>
      </c>
      <c r="J131" s="2" t="str">
        <f>[1]Sheet1!R125</f>
        <v>Spain</v>
      </c>
      <c r="K131" s="2" t="str">
        <f>[1]Sheet1!S125</f>
        <v>Spain</v>
      </c>
      <c r="L131" s="1"/>
    </row>
    <row r="132" spans="2:12">
      <c r="B132">
        <f>[1]Sheet1!B126</f>
        <v>123</v>
      </c>
      <c r="C132" s="2">
        <f>[1]Sheet1!C126</f>
        <v>2021</v>
      </c>
      <c r="D132" s="2" t="str">
        <f>[1]Sheet1!F126</f>
        <v>Principal Data Scientist</v>
      </c>
      <c r="E132" s="2" t="str">
        <f>[1]Sheet1!Y125</f>
        <v>Mid-Level</v>
      </c>
      <c r="F132" s="2" t="str">
        <f>[1]Sheet1!Q126</f>
        <v>151000 $</v>
      </c>
      <c r="G132" s="3">
        <f>[1]Sheet1!I126</f>
        <v>151000</v>
      </c>
      <c r="H132" s="2" t="str">
        <f>[1]Sheet1!N126</f>
        <v>Full-Time</v>
      </c>
      <c r="I132" s="2" t="str">
        <f>[1]Sheet1!O126</f>
        <v>Large</v>
      </c>
      <c r="J132" s="2" t="str">
        <f>[1]Sheet1!R126</f>
        <v>United States</v>
      </c>
      <c r="K132" s="2" t="str">
        <f>[1]Sheet1!S126</f>
        <v>United States</v>
      </c>
      <c r="L132" s="1"/>
    </row>
    <row r="133" spans="2:12">
      <c r="B133">
        <f>[1]Sheet1!B127</f>
        <v>124</v>
      </c>
      <c r="C133" s="2">
        <f>[1]Sheet1!C127</f>
        <v>2021</v>
      </c>
      <c r="D133" s="2" t="str">
        <f>[1]Sheet1!F127</f>
        <v>Machine Learning Scientist</v>
      </c>
      <c r="E133" s="2" t="str">
        <f>[1]Sheet1!Y126</f>
        <v>Senior-Level</v>
      </c>
      <c r="F133" s="2" t="str">
        <f>[1]Sheet1!Q127</f>
        <v>120000 $</v>
      </c>
      <c r="G133" s="3">
        <f>[1]Sheet1!I127</f>
        <v>120000</v>
      </c>
      <c r="H133" s="2" t="str">
        <f>[1]Sheet1!N127</f>
        <v>Full-Time</v>
      </c>
      <c r="I133" s="2" t="str">
        <f>[1]Sheet1!O127</f>
        <v>Small</v>
      </c>
      <c r="J133" s="2" t="str">
        <f>[1]Sheet1!R127</f>
        <v>United States</v>
      </c>
      <c r="K133" s="2" t="str">
        <f>[1]Sheet1!S127</f>
        <v>United States</v>
      </c>
      <c r="L133" s="1"/>
    </row>
    <row r="134" spans="2:12">
      <c r="B134">
        <f>[1]Sheet1!B128</f>
        <v>125</v>
      </c>
      <c r="C134" s="2">
        <f>[1]Sheet1!C128</f>
        <v>2021</v>
      </c>
      <c r="D134" s="2" t="str">
        <f>[1]Sheet1!F128</f>
        <v>Data Scientist</v>
      </c>
      <c r="E134" s="2" t="str">
        <f>[1]Sheet1!Y127</f>
        <v>Mid-Level</v>
      </c>
      <c r="F134" s="2" t="str">
        <f>[1]Sheet1!Q128</f>
        <v>700000 ₹</v>
      </c>
      <c r="G134" s="3">
        <f>[1]Sheet1!I128</f>
        <v>9466</v>
      </c>
      <c r="H134" s="2" t="str">
        <f>[1]Sheet1!N128</f>
        <v>Full-Time</v>
      </c>
      <c r="I134" s="2" t="str">
        <f>[1]Sheet1!O128</f>
        <v>Small</v>
      </c>
      <c r="J134" s="2" t="str">
        <f>[1]Sheet1!R128</f>
        <v>India</v>
      </c>
      <c r="K134" s="2" t="str">
        <f>[1]Sheet1!S128</f>
        <v>India</v>
      </c>
      <c r="L134" s="1"/>
    </row>
    <row r="135" spans="2:12">
      <c r="B135">
        <f>[1]Sheet1!B129</f>
        <v>126</v>
      </c>
      <c r="C135" s="2">
        <f>[1]Sheet1!C129</f>
        <v>2021</v>
      </c>
      <c r="D135" s="2" t="str">
        <f>[1]Sheet1!F129</f>
        <v>Machine Learning Engineer</v>
      </c>
      <c r="E135" s="2" t="str">
        <f>[1]Sheet1!Y128</f>
        <v>Entry-Level</v>
      </c>
      <c r="F135" s="2" t="str">
        <f>[1]Sheet1!Q129</f>
        <v>20000 $</v>
      </c>
      <c r="G135" s="3">
        <f>[1]Sheet1!I129</f>
        <v>20000</v>
      </c>
      <c r="H135" s="2" t="str">
        <f>[1]Sheet1!N129</f>
        <v>Full-Time</v>
      </c>
      <c r="I135" s="2" t="str">
        <f>[1]Sheet1!O129</f>
        <v>Small</v>
      </c>
      <c r="J135" s="2" t="str">
        <f>[1]Sheet1!R129</f>
        <v>India</v>
      </c>
      <c r="K135" s="2" t="str">
        <f>[1]Sheet1!S129</f>
        <v>India</v>
      </c>
      <c r="L135" s="1"/>
    </row>
    <row r="136" spans="2:12">
      <c r="B136">
        <f>[1]Sheet1!B130</f>
        <v>127</v>
      </c>
      <c r="C136" s="2">
        <f>[1]Sheet1!C130</f>
        <v>2021</v>
      </c>
      <c r="D136" s="2" t="str">
        <f>[1]Sheet1!F130</f>
        <v>Lead Data Scientist</v>
      </c>
      <c r="E136" s="2" t="str">
        <f>[1]Sheet1!Y129</f>
        <v>Senior-Level</v>
      </c>
      <c r="F136" s="2" t="str">
        <f>[1]Sheet1!Q130</f>
        <v>3000000 ₹</v>
      </c>
      <c r="G136" s="3">
        <f>[1]Sheet1!I130</f>
        <v>40570</v>
      </c>
      <c r="H136" s="2" t="str">
        <f>[1]Sheet1!N130</f>
        <v>Full-Time</v>
      </c>
      <c r="I136" s="2" t="str">
        <f>[1]Sheet1!O130</f>
        <v>Large</v>
      </c>
      <c r="J136" s="2" t="str">
        <f>[1]Sheet1!R130</f>
        <v>India</v>
      </c>
      <c r="K136" s="2" t="str">
        <f>[1]Sheet1!S130</f>
        <v>India</v>
      </c>
      <c r="L136" s="1"/>
    </row>
    <row r="137" spans="2:12">
      <c r="B137">
        <f>[1]Sheet1!B131</f>
        <v>128</v>
      </c>
      <c r="C137" s="2">
        <f>[1]Sheet1!C131</f>
        <v>2021</v>
      </c>
      <c r="D137" s="2" t="str">
        <f>[1]Sheet1!F131</f>
        <v>Machine Learning Developer</v>
      </c>
      <c r="E137" s="2" t="str">
        <f>[1]Sheet1!Y130</f>
        <v>Entry-Level</v>
      </c>
      <c r="F137" s="2" t="str">
        <f>[1]Sheet1!Q131</f>
        <v>100000 $</v>
      </c>
      <c r="G137" s="3">
        <f>[1]Sheet1!I131</f>
        <v>100000</v>
      </c>
      <c r="H137" s="2" t="str">
        <f>[1]Sheet1!N131</f>
        <v>Full-Time</v>
      </c>
      <c r="I137" s="2" t="str">
        <f>[1]Sheet1!O131</f>
        <v>Small</v>
      </c>
      <c r="J137" s="2" t="str">
        <f>[1]Sheet1!R131</f>
        <v>Iraq</v>
      </c>
      <c r="K137" s="2" t="str">
        <f>[1]Sheet1!S131</f>
        <v>Iraq</v>
      </c>
      <c r="L137" s="1"/>
    </row>
    <row r="138" spans="2:12">
      <c r="B138">
        <f>[1]Sheet1!B132</f>
        <v>129</v>
      </c>
      <c r="C138" s="2">
        <f>[1]Sheet1!C132</f>
        <v>2021</v>
      </c>
      <c r="D138" s="2" t="str">
        <f>[1]Sheet1!F132</f>
        <v>Data Scientist</v>
      </c>
      <c r="E138" s="2" t="str">
        <f>[1]Sheet1!Y131</f>
        <v>Entry-Level</v>
      </c>
      <c r="F138" s="2" t="str">
        <f>[1]Sheet1!Q132</f>
        <v>42000 €</v>
      </c>
      <c r="G138" s="3">
        <f>[1]Sheet1!I132</f>
        <v>49646</v>
      </c>
      <c r="H138" s="2" t="str">
        <f>[1]Sheet1!N132</f>
        <v>Full-Time</v>
      </c>
      <c r="I138" s="2" t="str">
        <f>[1]Sheet1!O132</f>
        <v>Contract</v>
      </c>
      <c r="J138" s="2" t="str">
        <f>[1]Sheet1!R132</f>
        <v>France</v>
      </c>
      <c r="K138" s="2" t="str">
        <f>[1]Sheet1!S132</f>
        <v>France</v>
      </c>
      <c r="L138" s="1"/>
    </row>
    <row r="139" spans="2:12">
      <c r="B139">
        <f>[1]Sheet1!B133</f>
        <v>130</v>
      </c>
      <c r="C139" s="2">
        <f>[1]Sheet1!C133</f>
        <v>2021</v>
      </c>
      <c r="D139" s="2" t="str">
        <f>[1]Sheet1!F133</f>
        <v>Applied Machine Learning Scientist</v>
      </c>
      <c r="E139" s="2" t="str">
        <f>[1]Sheet1!Y132</f>
        <v>Mid-Level</v>
      </c>
      <c r="F139" s="2" t="str">
        <f>[1]Sheet1!Q133</f>
        <v>38400 $</v>
      </c>
      <c r="G139" s="3">
        <f>[1]Sheet1!I133</f>
        <v>38400</v>
      </c>
      <c r="H139" s="2" t="str">
        <f>[1]Sheet1!N133</f>
        <v>Full-Time</v>
      </c>
      <c r="I139" s="2" t="str">
        <f>[1]Sheet1!O133</f>
        <v>Contract</v>
      </c>
      <c r="J139" s="2" t="str">
        <f>[1]Sheet1!R133</f>
        <v>Vietnam</v>
      </c>
      <c r="K139" s="2" t="str">
        <f>[1]Sheet1!S133</f>
        <v>United States</v>
      </c>
      <c r="L139" s="1"/>
    </row>
    <row r="140" spans="2:12">
      <c r="B140">
        <f>[1]Sheet1!B134</f>
        <v>131</v>
      </c>
      <c r="C140" s="2">
        <f>[1]Sheet1!C134</f>
        <v>2021</v>
      </c>
      <c r="D140" s="2" t="str">
        <f>[1]Sheet1!F134</f>
        <v>Computer Vision Engineer</v>
      </c>
      <c r="E140" s="2" t="str">
        <f>[1]Sheet1!Y133</f>
        <v>Senior-Level</v>
      </c>
      <c r="F140" s="2" t="str">
        <f>[1]Sheet1!Q134</f>
        <v>24000 $</v>
      </c>
      <c r="G140" s="3">
        <f>[1]Sheet1!I134</f>
        <v>24000</v>
      </c>
      <c r="H140" s="2" t="str">
        <f>[1]Sheet1!N134</f>
        <v>Full-Time</v>
      </c>
      <c r="I140" s="2" t="str">
        <f>[1]Sheet1!O134</f>
        <v>Contract</v>
      </c>
      <c r="J140" s="2" t="str">
        <f>[1]Sheet1!R134</f>
        <v>Brazil</v>
      </c>
      <c r="K140" s="2" t="str">
        <f>[1]Sheet1!S134</f>
        <v>Brazil</v>
      </c>
      <c r="L140" s="1"/>
    </row>
    <row r="141" spans="2:12">
      <c r="B141">
        <f>[1]Sheet1!B135</f>
        <v>132</v>
      </c>
      <c r="C141" s="2">
        <f>[1]Sheet1!C135</f>
        <v>2021</v>
      </c>
      <c r="D141" s="2" t="str">
        <f>[1]Sheet1!F135</f>
        <v>Data Scientist</v>
      </c>
      <c r="E141" s="2" t="str">
        <f>[1]Sheet1!Y134</f>
        <v>Entry-Level</v>
      </c>
      <c r="F141" s="2" t="str">
        <f>[1]Sheet1!Q135</f>
        <v>100000 $</v>
      </c>
      <c r="G141" s="3">
        <f>[1]Sheet1!I135</f>
        <v>100000</v>
      </c>
      <c r="H141" s="2" t="str">
        <f>[1]Sheet1!N135</f>
        <v>Full-Time</v>
      </c>
      <c r="I141" s="2" t="str">
        <f>[1]Sheet1!O135</f>
        <v>Small</v>
      </c>
      <c r="J141" s="2" t="str">
        <f>[1]Sheet1!R135</f>
        <v>United States</v>
      </c>
      <c r="K141" s="2" t="str">
        <f>[1]Sheet1!S135</f>
        <v>United States</v>
      </c>
      <c r="L141" s="1"/>
    </row>
    <row r="142" spans="2:12">
      <c r="B142">
        <f>[1]Sheet1!B136</f>
        <v>133</v>
      </c>
      <c r="C142" s="2">
        <f>[1]Sheet1!C136</f>
        <v>2021</v>
      </c>
      <c r="D142" s="2" t="str">
        <f>[1]Sheet1!F136</f>
        <v>ML Engineer</v>
      </c>
      <c r="E142" s="2" t="str">
        <f>[1]Sheet1!Y135</f>
        <v>Mid-Level</v>
      </c>
      <c r="F142" s="2" t="str">
        <f>[1]Sheet1!Q136</f>
        <v>7000000 ¥</v>
      </c>
      <c r="G142" s="3">
        <f>[1]Sheet1!I136</f>
        <v>63711</v>
      </c>
      <c r="H142" s="2" t="str">
        <f>[1]Sheet1!N136</f>
        <v>Full-Time</v>
      </c>
      <c r="I142" s="2" t="str">
        <f>[1]Sheet1!O136</f>
        <v>Small</v>
      </c>
      <c r="J142" s="2" t="str">
        <f>[1]Sheet1!R136</f>
        <v>Japan</v>
      </c>
      <c r="K142" s="2" t="str">
        <f>[1]Sheet1!S136</f>
        <v>Japan</v>
      </c>
      <c r="L142" s="1"/>
    </row>
    <row r="143" spans="2:12">
      <c r="B143">
        <f>[1]Sheet1!B137</f>
        <v>134</v>
      </c>
      <c r="C143" s="2">
        <f>[1]Sheet1!C137</f>
        <v>2021</v>
      </c>
      <c r="D143" s="2" t="str">
        <f>[1]Sheet1!F137</f>
        <v>ML Engineer</v>
      </c>
      <c r="E143" s="2" t="str">
        <f>[1]Sheet1!Y136</f>
        <v>Mid-Level</v>
      </c>
      <c r="F143" s="2" t="str">
        <f>[1]Sheet1!Q137</f>
        <v>8500000 ¥</v>
      </c>
      <c r="G143" s="3">
        <f>[1]Sheet1!I137</f>
        <v>77364</v>
      </c>
      <c r="H143" s="2" t="str">
        <f>[1]Sheet1!N137</f>
        <v>Full-Time</v>
      </c>
      <c r="I143" s="2" t="str">
        <f>[1]Sheet1!O137</f>
        <v>Small</v>
      </c>
      <c r="J143" s="2" t="str">
        <f>[1]Sheet1!R137</f>
        <v>Japan</v>
      </c>
      <c r="K143" s="2" t="str">
        <f>[1]Sheet1!S137</f>
        <v>Japan</v>
      </c>
      <c r="L143" s="1"/>
    </row>
    <row r="144" spans="2:12">
      <c r="B144">
        <f>[1]Sheet1!B138</f>
        <v>135</v>
      </c>
      <c r="C144" s="2">
        <f>[1]Sheet1!C138</f>
        <v>2021</v>
      </c>
      <c r="D144" s="2" t="str">
        <f>[1]Sheet1!F138</f>
        <v>Principal Data Scientist</v>
      </c>
      <c r="E144" s="2" t="str">
        <f>[1]Sheet1!Y137</f>
        <v>Senior-Level</v>
      </c>
      <c r="F144" s="2" t="str">
        <f>[1]Sheet1!Q138</f>
        <v>220000 $</v>
      </c>
      <c r="G144" s="3">
        <f>[1]Sheet1!I138</f>
        <v>220000</v>
      </c>
      <c r="H144" s="2" t="str">
        <f>[1]Sheet1!N138</f>
        <v>Full-Time</v>
      </c>
      <c r="I144" s="2" t="str">
        <f>[1]Sheet1!O138</f>
        <v>Large</v>
      </c>
      <c r="J144" s="2" t="str">
        <f>[1]Sheet1!R138</f>
        <v>United States</v>
      </c>
      <c r="K144" s="2" t="str">
        <f>[1]Sheet1!S138</f>
        <v>United States</v>
      </c>
      <c r="L144" s="1"/>
    </row>
    <row r="145" spans="2:12">
      <c r="B145">
        <f>[1]Sheet1!B139</f>
        <v>136</v>
      </c>
      <c r="C145" s="2">
        <f>[1]Sheet1!C139</f>
        <v>2021</v>
      </c>
      <c r="D145" s="2" t="str">
        <f>[1]Sheet1!F139</f>
        <v>Data Scientist</v>
      </c>
      <c r="E145" s="2" t="str">
        <f>[1]Sheet1!Y138</f>
        <v>Entry-Level</v>
      </c>
      <c r="F145" s="2" t="str">
        <f>[1]Sheet1!Q139</f>
        <v>80000 $</v>
      </c>
      <c r="G145" s="3">
        <f>[1]Sheet1!I139</f>
        <v>80000</v>
      </c>
      <c r="H145" s="2" t="str">
        <f>[1]Sheet1!N139</f>
        <v>Full-Time</v>
      </c>
      <c r="I145" s="2" t="str">
        <f>[1]Sheet1!O139</f>
        <v>Contract</v>
      </c>
      <c r="J145" s="2" t="str">
        <f>[1]Sheet1!R139</f>
        <v>United States</v>
      </c>
      <c r="K145" s="2" t="str">
        <f>[1]Sheet1!S139</f>
        <v>United States</v>
      </c>
      <c r="L145" s="1"/>
    </row>
    <row r="146" spans="2:12">
      <c r="B146">
        <f>[1]Sheet1!B140</f>
        <v>137</v>
      </c>
      <c r="C146" s="2">
        <f>[1]Sheet1!C140</f>
        <v>2021</v>
      </c>
      <c r="D146" s="2" t="str">
        <f>[1]Sheet1!F140</f>
        <v>Data Analyst</v>
      </c>
      <c r="E146" s="2" t="str">
        <f>[1]Sheet1!Y139</f>
        <v>Mid-Level</v>
      </c>
      <c r="F146" s="2" t="str">
        <f>[1]Sheet1!Q140</f>
        <v>135000 $</v>
      </c>
      <c r="G146" s="3">
        <f>[1]Sheet1!I140</f>
        <v>135000</v>
      </c>
      <c r="H146" s="2" t="str">
        <f>[1]Sheet1!N140</f>
        <v>Full-Time</v>
      </c>
      <c r="I146" s="2" t="str">
        <f>[1]Sheet1!O140</f>
        <v>Large</v>
      </c>
      <c r="J146" s="2" t="str">
        <f>[1]Sheet1!R140</f>
        <v>United States</v>
      </c>
      <c r="K146" s="2" t="str">
        <f>[1]Sheet1!S140</f>
        <v>United States</v>
      </c>
      <c r="L146" s="1"/>
    </row>
    <row r="147" spans="2:12">
      <c r="B147">
        <f>[1]Sheet1!B141</f>
        <v>138</v>
      </c>
      <c r="C147" s="2">
        <f>[1]Sheet1!C141</f>
        <v>2021</v>
      </c>
      <c r="D147" s="2" t="str">
        <f>[1]Sheet1!F141</f>
        <v>Data Science Manager</v>
      </c>
      <c r="E147" s="2" t="str">
        <f>[1]Sheet1!Y140</f>
        <v>Senior-Level</v>
      </c>
      <c r="F147" s="2" t="str">
        <f>[1]Sheet1!Q141</f>
        <v>240000 $</v>
      </c>
      <c r="G147" s="3">
        <f>[1]Sheet1!I141</f>
        <v>240000</v>
      </c>
      <c r="H147" s="2" t="str">
        <f>[1]Sheet1!N141</f>
        <v>Full-Time</v>
      </c>
      <c r="I147" s="2" t="str">
        <f>[1]Sheet1!O141</f>
        <v>Large</v>
      </c>
      <c r="J147" s="2" t="str">
        <f>[1]Sheet1!R141</f>
        <v>United States</v>
      </c>
      <c r="K147" s="2" t="str">
        <f>[1]Sheet1!S141</f>
        <v>United States</v>
      </c>
      <c r="L147" s="1"/>
    </row>
    <row r="148" spans="2:12">
      <c r="B148">
        <f>[1]Sheet1!B142</f>
        <v>139</v>
      </c>
      <c r="C148" s="2">
        <f>[1]Sheet1!C142</f>
        <v>2021</v>
      </c>
      <c r="D148" s="2" t="str">
        <f>[1]Sheet1!F142</f>
        <v>Data Engineering Manager</v>
      </c>
      <c r="E148" s="2" t="str">
        <f>[1]Sheet1!Y141</f>
        <v>Senior-Level</v>
      </c>
      <c r="F148" s="2" t="str">
        <f>[1]Sheet1!Q142</f>
        <v>150000 $</v>
      </c>
      <c r="G148" s="3">
        <f>[1]Sheet1!I142</f>
        <v>150000</v>
      </c>
      <c r="H148" s="2" t="str">
        <f>[1]Sheet1!N142</f>
        <v>Full-Time</v>
      </c>
      <c r="I148" s="2" t="str">
        <f>[1]Sheet1!O142</f>
        <v>Large</v>
      </c>
      <c r="J148" s="2" t="str">
        <f>[1]Sheet1!R142</f>
        <v>United States</v>
      </c>
      <c r="K148" s="2" t="str">
        <f>[1]Sheet1!S142</f>
        <v>United States</v>
      </c>
      <c r="L148" s="1"/>
    </row>
    <row r="149" spans="2:12">
      <c r="B149">
        <f>[1]Sheet1!B143</f>
        <v>140</v>
      </c>
      <c r="C149" s="2">
        <f>[1]Sheet1!C143</f>
        <v>2021</v>
      </c>
      <c r="D149" s="2" t="str">
        <f>[1]Sheet1!F143</f>
        <v>Data Scientist</v>
      </c>
      <c r="E149" s="2" t="str">
        <f>[1]Sheet1!Y142</f>
        <v>Mid-Level</v>
      </c>
      <c r="F149" s="2" t="str">
        <f>[1]Sheet1!Q143</f>
        <v>82500 $</v>
      </c>
      <c r="G149" s="3">
        <f>[1]Sheet1!I143</f>
        <v>82500</v>
      </c>
      <c r="H149" s="2" t="str">
        <f>[1]Sheet1!N143</f>
        <v>Full-Time</v>
      </c>
      <c r="I149" s="2" t="str">
        <f>[1]Sheet1!O143</f>
        <v>Small</v>
      </c>
      <c r="J149" s="2" t="str">
        <f>[1]Sheet1!R143</f>
        <v>United States</v>
      </c>
      <c r="K149" s="2" t="str">
        <f>[1]Sheet1!S143</f>
        <v>United States</v>
      </c>
      <c r="L149" s="1"/>
    </row>
    <row r="150" spans="2:12">
      <c r="B150">
        <f>[1]Sheet1!B144</f>
        <v>141</v>
      </c>
      <c r="C150" s="2">
        <f>[1]Sheet1!C144</f>
        <v>2021</v>
      </c>
      <c r="D150" s="2" t="str">
        <f>[1]Sheet1!F144</f>
        <v>Data Engineer</v>
      </c>
      <c r="E150" s="2" t="str">
        <f>[1]Sheet1!Y143</f>
        <v>Mid-Level</v>
      </c>
      <c r="F150" s="2" t="str">
        <f>[1]Sheet1!Q144</f>
        <v>100000 $</v>
      </c>
      <c r="G150" s="3">
        <f>[1]Sheet1!I144</f>
        <v>100000</v>
      </c>
      <c r="H150" s="2" t="str">
        <f>[1]Sheet1!N144</f>
        <v>Full-Time</v>
      </c>
      <c r="I150" s="2" t="str">
        <f>[1]Sheet1!O144</f>
        <v>Large</v>
      </c>
      <c r="J150" s="2" t="str">
        <f>[1]Sheet1!R144</f>
        <v>United States</v>
      </c>
      <c r="K150" s="2" t="str">
        <f>[1]Sheet1!S144</f>
        <v>United States</v>
      </c>
      <c r="L150" s="1"/>
    </row>
    <row r="151" spans="2:12">
      <c r="B151">
        <f>[1]Sheet1!B145</f>
        <v>142</v>
      </c>
      <c r="C151" s="2">
        <f>[1]Sheet1!C145</f>
        <v>2021</v>
      </c>
      <c r="D151" s="2" t="str">
        <f>[1]Sheet1!F145</f>
        <v>Machine Learning Engineer</v>
      </c>
      <c r="E151" s="2" t="str">
        <f>[1]Sheet1!Y144</f>
        <v>Senior-Level</v>
      </c>
      <c r="F151" s="2" t="str">
        <f>[1]Sheet1!Q145</f>
        <v>70000 €</v>
      </c>
      <c r="G151" s="3">
        <f>[1]Sheet1!I145</f>
        <v>82744</v>
      </c>
      <c r="H151" s="2" t="str">
        <f>[1]Sheet1!N145</f>
        <v>Full-Time</v>
      </c>
      <c r="I151" s="2" t="str">
        <f>[1]Sheet1!O145</f>
        <v>Contract</v>
      </c>
      <c r="J151" s="2" t="str">
        <f>[1]Sheet1!R145</f>
        <v>Belgium</v>
      </c>
      <c r="K151" s="2" t="str">
        <f>[1]Sheet1!S145</f>
        <v>Belgium</v>
      </c>
      <c r="L151" s="1"/>
    </row>
    <row r="152" spans="2:12">
      <c r="B152">
        <f>[1]Sheet1!B146</f>
        <v>143</v>
      </c>
      <c r="C152" s="2">
        <f>[1]Sheet1!C146</f>
        <v>2021</v>
      </c>
      <c r="D152" s="2" t="str">
        <f>[1]Sheet1!F146</f>
        <v>Research Scientist</v>
      </c>
      <c r="E152" s="2" t="str">
        <f>[1]Sheet1!Y145</f>
        <v>Mid-Level</v>
      </c>
      <c r="F152" s="2" t="str">
        <f>[1]Sheet1!Q146</f>
        <v>53000 €</v>
      </c>
      <c r="G152" s="3">
        <f>[1]Sheet1!I146</f>
        <v>62649</v>
      </c>
      <c r="H152" s="2" t="str">
        <f>[1]Sheet1!N146</f>
        <v>Full-Time</v>
      </c>
      <c r="I152" s="2" t="str">
        <f>[1]Sheet1!O146</f>
        <v>Contract</v>
      </c>
      <c r="J152" s="2" t="str">
        <f>[1]Sheet1!R146</f>
        <v>France</v>
      </c>
      <c r="K152" s="2" t="str">
        <f>[1]Sheet1!S146</f>
        <v>France</v>
      </c>
      <c r="L152" s="1"/>
    </row>
    <row r="153" spans="2:12">
      <c r="B153">
        <f>[1]Sheet1!B147</f>
        <v>144</v>
      </c>
      <c r="C153" s="2">
        <f>[1]Sheet1!C147</f>
        <v>2021</v>
      </c>
      <c r="D153" s="2" t="str">
        <f>[1]Sheet1!F147</f>
        <v>Data Engineer</v>
      </c>
      <c r="E153" s="2" t="str">
        <f>[1]Sheet1!Y146</f>
        <v>Mid-Level</v>
      </c>
      <c r="F153" s="2" t="str">
        <f>[1]Sheet1!Q147</f>
        <v>90000 $</v>
      </c>
      <c r="G153" s="3">
        <f>[1]Sheet1!I147</f>
        <v>90000</v>
      </c>
      <c r="H153" s="2" t="str">
        <f>[1]Sheet1!N147</f>
        <v>Full-Time</v>
      </c>
      <c r="I153" s="2" t="str">
        <f>[1]Sheet1!O147</f>
        <v>Large</v>
      </c>
      <c r="J153" s="2" t="str">
        <f>[1]Sheet1!R147</f>
        <v>United States</v>
      </c>
      <c r="K153" s="2" t="str">
        <f>[1]Sheet1!S147</f>
        <v>United States</v>
      </c>
      <c r="L153" s="1"/>
    </row>
    <row r="154" spans="2:12">
      <c r="B154">
        <f>[1]Sheet1!B148</f>
        <v>145</v>
      </c>
      <c r="C154" s="2">
        <f>[1]Sheet1!C148</f>
        <v>2021</v>
      </c>
      <c r="D154" s="2" t="str">
        <f>[1]Sheet1!F148</f>
        <v>Data Engineering Manager</v>
      </c>
      <c r="E154" s="2" t="str">
        <f>[1]Sheet1!Y147</f>
        <v>Senior-Level</v>
      </c>
      <c r="F154" s="2" t="str">
        <f>[1]Sheet1!Q148</f>
        <v>153000 $</v>
      </c>
      <c r="G154" s="3">
        <f>[1]Sheet1!I148</f>
        <v>153000</v>
      </c>
      <c r="H154" s="2" t="str">
        <f>[1]Sheet1!N148</f>
        <v>Full-Time</v>
      </c>
      <c r="I154" s="2" t="str">
        <f>[1]Sheet1!O148</f>
        <v>Large</v>
      </c>
      <c r="J154" s="2" t="str">
        <f>[1]Sheet1!R148</f>
        <v>United States</v>
      </c>
      <c r="K154" s="2" t="str">
        <f>[1]Sheet1!S148</f>
        <v>United States</v>
      </c>
      <c r="L154" s="1"/>
    </row>
    <row r="155" spans="2:12">
      <c r="B155">
        <f>[1]Sheet1!B149</f>
        <v>146</v>
      </c>
      <c r="C155" s="2">
        <f>[1]Sheet1!C149</f>
        <v>2021</v>
      </c>
      <c r="D155" s="2" t="str">
        <f>[1]Sheet1!F149</f>
        <v>Cloud Data Engineer</v>
      </c>
      <c r="E155" s="2" t="str">
        <f>[1]Sheet1!Y148</f>
        <v>Senior-Level</v>
      </c>
      <c r="F155" s="2" t="str">
        <f>[1]Sheet1!Q149</f>
        <v>160000 $</v>
      </c>
      <c r="G155" s="3">
        <f>[1]Sheet1!I149</f>
        <v>160000</v>
      </c>
      <c r="H155" s="2" t="str">
        <f>[1]Sheet1!N149</f>
        <v>Full-Time</v>
      </c>
      <c r="I155" s="2" t="str">
        <f>[1]Sheet1!O149</f>
        <v>Small</v>
      </c>
      <c r="J155" s="2" t="str">
        <f>[1]Sheet1!R149</f>
        <v>Brazil</v>
      </c>
      <c r="K155" s="2" t="str">
        <f>[1]Sheet1!S149</f>
        <v>United States</v>
      </c>
      <c r="L155" s="1"/>
    </row>
    <row r="156" spans="2:12">
      <c r="B156">
        <f>[1]Sheet1!B150</f>
        <v>147</v>
      </c>
      <c r="C156" s="2">
        <f>[1]Sheet1!C150</f>
        <v>2021</v>
      </c>
      <c r="D156" s="2" t="str">
        <f>[1]Sheet1!F150</f>
        <v>Director of Data Science</v>
      </c>
      <c r="E156" s="2" t="str">
        <f>[1]Sheet1!Y149</f>
        <v>Senior-Level</v>
      </c>
      <c r="F156" s="2" t="str">
        <f>[1]Sheet1!Q150</f>
        <v>168000 $</v>
      </c>
      <c r="G156" s="3">
        <f>[1]Sheet1!I150</f>
        <v>168000</v>
      </c>
      <c r="H156" s="2" t="str">
        <f>[1]Sheet1!N150</f>
        <v>Full-Time</v>
      </c>
      <c r="I156" s="2" t="str">
        <f>[1]Sheet1!O150</f>
        <v>Small</v>
      </c>
      <c r="J156" s="2" t="str">
        <f>[1]Sheet1!R150</f>
        <v>Japan</v>
      </c>
      <c r="K156" s="2" t="str">
        <f>[1]Sheet1!S150</f>
        <v>Japan</v>
      </c>
      <c r="L156" s="1"/>
    </row>
    <row r="157" spans="2:12">
      <c r="B157">
        <f>[1]Sheet1!B151</f>
        <v>148</v>
      </c>
      <c r="C157" s="2">
        <f>[1]Sheet1!C151</f>
        <v>2021</v>
      </c>
      <c r="D157" s="2" t="str">
        <f>[1]Sheet1!F151</f>
        <v>Data Scientist</v>
      </c>
      <c r="E157" s="2" t="str">
        <f>[1]Sheet1!Y150</f>
        <v>Mid-Level</v>
      </c>
      <c r="F157" s="2" t="str">
        <f>[1]Sheet1!Q151</f>
        <v>150000 $</v>
      </c>
      <c r="G157" s="3">
        <f>[1]Sheet1!I151</f>
        <v>150000</v>
      </c>
      <c r="H157" s="2" t="str">
        <f>[1]Sheet1!N151</f>
        <v>Full-Time</v>
      </c>
      <c r="I157" s="2" t="str">
        <f>[1]Sheet1!O151</f>
        <v>Contract</v>
      </c>
      <c r="J157" s="2" t="str">
        <f>[1]Sheet1!R151</f>
        <v>United States</v>
      </c>
      <c r="K157" s="2" t="str">
        <f>[1]Sheet1!S151</f>
        <v>United States</v>
      </c>
      <c r="L157" s="1"/>
    </row>
    <row r="158" spans="2:12">
      <c r="B158">
        <f>[1]Sheet1!B152</f>
        <v>149</v>
      </c>
      <c r="C158" s="2">
        <f>[1]Sheet1!C152</f>
        <v>2021</v>
      </c>
      <c r="D158" s="2" t="str">
        <f>[1]Sheet1!F152</f>
        <v>Data Scientist</v>
      </c>
      <c r="E158" s="2" t="str">
        <f>[1]Sheet1!Y151</f>
        <v>Mid-Level</v>
      </c>
      <c r="F158" s="2" t="str">
        <f>[1]Sheet1!Q152</f>
        <v>95000 C$</v>
      </c>
      <c r="G158" s="3">
        <f>[1]Sheet1!I152</f>
        <v>75774</v>
      </c>
      <c r="H158" s="2" t="str">
        <f>[1]Sheet1!N152</f>
        <v>Full-Time</v>
      </c>
      <c r="I158" s="2" t="str">
        <f>[1]Sheet1!O152</f>
        <v>Large</v>
      </c>
      <c r="J158" s="2" t="str">
        <f>[1]Sheet1!R152</f>
        <v>Canada</v>
      </c>
      <c r="K158" s="2" t="str">
        <f>[1]Sheet1!S152</f>
        <v>Canada</v>
      </c>
      <c r="L158" s="1"/>
    </row>
    <row r="159" spans="2:12">
      <c r="B159">
        <f>[1]Sheet1!B153</f>
        <v>150</v>
      </c>
      <c r="C159" s="2">
        <f>[1]Sheet1!C153</f>
        <v>2021</v>
      </c>
      <c r="D159" s="2" t="str">
        <f>[1]Sheet1!F153</f>
        <v>Data Scientist</v>
      </c>
      <c r="E159" s="2" t="str">
        <f>[1]Sheet1!Y152</f>
        <v>Entry-Level</v>
      </c>
      <c r="F159" s="2" t="str">
        <f>[1]Sheet1!Q153</f>
        <v>13400 $</v>
      </c>
      <c r="G159" s="3">
        <f>[1]Sheet1!I153</f>
        <v>13400</v>
      </c>
      <c r="H159" s="2" t="str">
        <f>[1]Sheet1!N153</f>
        <v>Full-Time</v>
      </c>
      <c r="I159" s="2" t="str">
        <f>[1]Sheet1!O153</f>
        <v>Large</v>
      </c>
      <c r="J159" s="2" t="str">
        <f>[1]Sheet1!R153</f>
        <v>Ukraine</v>
      </c>
      <c r="K159" s="2" t="str">
        <f>[1]Sheet1!S153</f>
        <v>Ukraine</v>
      </c>
      <c r="L159" s="1"/>
    </row>
    <row r="160" spans="2:12">
      <c r="B160">
        <f>[1]Sheet1!B154</f>
        <v>151</v>
      </c>
      <c r="C160" s="2">
        <f>[1]Sheet1!C154</f>
        <v>2021</v>
      </c>
      <c r="D160" s="2" t="str">
        <f>[1]Sheet1!F154</f>
        <v>Data Science Manager</v>
      </c>
      <c r="E160" s="2" t="str">
        <f>[1]Sheet1!Y153</f>
        <v>Senior-Level</v>
      </c>
      <c r="F160" s="2" t="str">
        <f>[1]Sheet1!Q154</f>
        <v>144000 $</v>
      </c>
      <c r="G160" s="3">
        <f>[1]Sheet1!I154</f>
        <v>144000</v>
      </c>
      <c r="H160" s="2" t="str">
        <f>[1]Sheet1!N154</f>
        <v>Full-Time</v>
      </c>
      <c r="I160" s="2" t="str">
        <f>[1]Sheet1!O154</f>
        <v>Large</v>
      </c>
      <c r="J160" s="2" t="str">
        <f>[1]Sheet1!R154</f>
        <v>United States</v>
      </c>
      <c r="K160" s="2" t="str">
        <f>[1]Sheet1!S154</f>
        <v>United States</v>
      </c>
      <c r="L160" s="1"/>
    </row>
    <row r="161" spans="2:12">
      <c r="B161">
        <f>[1]Sheet1!B155</f>
        <v>152</v>
      </c>
      <c r="C161" s="2">
        <f>[1]Sheet1!C155</f>
        <v>2021</v>
      </c>
      <c r="D161" s="2" t="str">
        <f>[1]Sheet1!F155</f>
        <v>Data Science Engineer</v>
      </c>
      <c r="E161" s="2" t="str">
        <f>[1]Sheet1!Y154</f>
        <v>Senior-Level</v>
      </c>
      <c r="F161" s="2" t="str">
        <f>[1]Sheet1!Q155</f>
        <v>159500 C$</v>
      </c>
      <c r="G161" s="3">
        <f>[1]Sheet1!I155</f>
        <v>127221</v>
      </c>
      <c r="H161" s="2" t="str">
        <f>[1]Sheet1!N155</f>
        <v>Full-Time</v>
      </c>
      <c r="I161" s="2" t="str">
        <f>[1]Sheet1!O155</f>
        <v>Large</v>
      </c>
      <c r="J161" s="2" t="str">
        <f>[1]Sheet1!R155</f>
        <v>Canada</v>
      </c>
      <c r="K161" s="2" t="str">
        <f>[1]Sheet1!S155</f>
        <v>Canada</v>
      </c>
      <c r="L161" s="1"/>
    </row>
    <row r="162" spans="2:12">
      <c r="B162">
        <f>[1]Sheet1!B156</f>
        <v>153</v>
      </c>
      <c r="C162" s="2">
        <f>[1]Sheet1!C156</f>
        <v>2021</v>
      </c>
      <c r="D162" s="2" t="str">
        <f>[1]Sheet1!F156</f>
        <v>Data Scientist</v>
      </c>
      <c r="E162" s="2" t="str">
        <f>[1]Sheet1!Y155</f>
        <v>Mid-Level</v>
      </c>
      <c r="F162" s="2" t="str">
        <f>[1]Sheet1!Q156</f>
        <v>160000 S$</v>
      </c>
      <c r="G162" s="3">
        <f>[1]Sheet1!I156</f>
        <v>119059</v>
      </c>
      <c r="H162" s="2" t="str">
        <f>[1]Sheet1!N156</f>
        <v>Full-Time</v>
      </c>
      <c r="I162" s="2" t="str">
        <f>[1]Sheet1!O156</f>
        <v>Contract</v>
      </c>
      <c r="J162" s="2" t="str">
        <f>[1]Sheet1!R156</f>
        <v>Singapore</v>
      </c>
      <c r="K162" s="2" t="str">
        <f>[1]Sheet1!S156</f>
        <v>Israel</v>
      </c>
      <c r="L162" s="1"/>
    </row>
    <row r="163" spans="2:12">
      <c r="B163">
        <f>[1]Sheet1!B157</f>
        <v>154</v>
      </c>
      <c r="C163" s="2">
        <f>[1]Sheet1!C157</f>
        <v>2021</v>
      </c>
      <c r="D163" s="2" t="str">
        <f>[1]Sheet1!F157</f>
        <v>Applied Machine Learning Scientist</v>
      </c>
      <c r="E163" s="2" t="str">
        <f>[1]Sheet1!Y156</f>
        <v>Mid-Level</v>
      </c>
      <c r="F163" s="2" t="str">
        <f>[1]Sheet1!Q157</f>
        <v>423000 $</v>
      </c>
      <c r="G163" s="3">
        <f>[1]Sheet1!I157</f>
        <v>423000</v>
      </c>
      <c r="H163" s="2" t="str">
        <f>[1]Sheet1!N157</f>
        <v>Full-Time</v>
      </c>
      <c r="I163" s="2" t="str">
        <f>[1]Sheet1!O157</f>
        <v>Large</v>
      </c>
      <c r="J163" s="2" t="str">
        <f>[1]Sheet1!R157</f>
        <v>United States</v>
      </c>
      <c r="K163" s="2" t="str">
        <f>[1]Sheet1!S157</f>
        <v>United States</v>
      </c>
      <c r="L163" s="1"/>
    </row>
    <row r="164" spans="2:12">
      <c r="B164">
        <f>[1]Sheet1!B158</f>
        <v>155</v>
      </c>
      <c r="C164" s="2">
        <f>[1]Sheet1!C158</f>
        <v>2021</v>
      </c>
      <c r="D164" s="2" t="str">
        <f>[1]Sheet1!F158</f>
        <v>Data Analytics Manager</v>
      </c>
      <c r="E164" s="2" t="str">
        <f>[1]Sheet1!Y157</f>
        <v>Senior-Level</v>
      </c>
      <c r="F164" s="2" t="str">
        <f>[1]Sheet1!Q158</f>
        <v>120000 $</v>
      </c>
      <c r="G164" s="3">
        <f>[1]Sheet1!I158</f>
        <v>120000</v>
      </c>
      <c r="H164" s="2" t="str">
        <f>[1]Sheet1!N158</f>
        <v>Full-Time</v>
      </c>
      <c r="I164" s="2" t="str">
        <f>[1]Sheet1!O158</f>
        <v>Contract</v>
      </c>
      <c r="J164" s="2" t="str">
        <f>[1]Sheet1!R158</f>
        <v>United States</v>
      </c>
      <c r="K164" s="2" t="str">
        <f>[1]Sheet1!S158</f>
        <v>United States</v>
      </c>
      <c r="L164" s="1"/>
    </row>
    <row r="165" spans="2:12">
      <c r="B165">
        <f>[1]Sheet1!B159</f>
        <v>156</v>
      </c>
      <c r="C165" s="2">
        <f>[1]Sheet1!C159</f>
        <v>2021</v>
      </c>
      <c r="D165" s="2" t="str">
        <f>[1]Sheet1!F159</f>
        <v>Machine Learning Engineer</v>
      </c>
      <c r="E165" s="2" t="str">
        <f>[1]Sheet1!Y158</f>
        <v>Entry-Level</v>
      </c>
      <c r="F165" s="2" t="str">
        <f>[1]Sheet1!Q159</f>
        <v>125000 $</v>
      </c>
      <c r="G165" s="3">
        <f>[1]Sheet1!I159</f>
        <v>125000</v>
      </c>
      <c r="H165" s="2" t="str">
        <f>[1]Sheet1!N159</f>
        <v>Full-Time</v>
      </c>
      <c r="I165" s="2" t="str">
        <f>[1]Sheet1!O159</f>
        <v>Small</v>
      </c>
      <c r="J165" s="2" t="str">
        <f>[1]Sheet1!R159</f>
        <v>United States</v>
      </c>
      <c r="K165" s="2" t="str">
        <f>[1]Sheet1!S159</f>
        <v>United States</v>
      </c>
      <c r="L165" s="1"/>
    </row>
    <row r="166" spans="2:12">
      <c r="B166">
        <f>[1]Sheet1!B160</f>
        <v>157</v>
      </c>
      <c r="C166" s="2">
        <f>[1]Sheet1!C160</f>
        <v>2021</v>
      </c>
      <c r="D166" s="2" t="str">
        <f>[1]Sheet1!F160</f>
        <v>Head of Data</v>
      </c>
      <c r="E166" s="2" t="str">
        <f>[1]Sheet1!Y159</f>
        <v>Executive</v>
      </c>
      <c r="F166" s="2" t="str">
        <f>[1]Sheet1!Q160</f>
        <v>230000 $</v>
      </c>
      <c r="G166" s="3">
        <f>[1]Sheet1!I160</f>
        <v>230000</v>
      </c>
      <c r="H166" s="2" t="str">
        <f>[1]Sheet1!N160</f>
        <v>Full-Time</v>
      </c>
      <c r="I166" s="2" t="str">
        <f>[1]Sheet1!O160</f>
        <v>Large</v>
      </c>
      <c r="J166" s="2" t="str">
        <f>[1]Sheet1!R160</f>
        <v>Russia</v>
      </c>
      <c r="K166" s="2" t="str">
        <f>[1]Sheet1!S160</f>
        <v>Russia</v>
      </c>
      <c r="L166" s="1"/>
    </row>
    <row r="167" spans="2:12">
      <c r="B167">
        <f>[1]Sheet1!B161</f>
        <v>158</v>
      </c>
      <c r="C167" s="2">
        <f>[1]Sheet1!C161</f>
        <v>2021</v>
      </c>
      <c r="D167" s="2" t="str">
        <f>[1]Sheet1!F161</f>
        <v>Head of Data Science</v>
      </c>
      <c r="E167" s="2" t="str">
        <f>[1]Sheet1!Y160</f>
        <v>Executive</v>
      </c>
      <c r="F167" s="2" t="str">
        <f>[1]Sheet1!Q161</f>
        <v>85000 $</v>
      </c>
      <c r="G167" s="3">
        <f>[1]Sheet1!I161</f>
        <v>85000</v>
      </c>
      <c r="H167" s="2" t="str">
        <f>[1]Sheet1!N161</f>
        <v>Full-Time</v>
      </c>
      <c r="I167" s="2" t="str">
        <f>[1]Sheet1!O161</f>
        <v>Contract</v>
      </c>
      <c r="J167" s="2" t="str">
        <f>[1]Sheet1!R161</f>
        <v>Russia</v>
      </c>
      <c r="K167" s="2" t="str">
        <f>[1]Sheet1!S161</f>
        <v>Russia</v>
      </c>
      <c r="L167" s="1"/>
    </row>
    <row r="168" spans="2:12">
      <c r="B168">
        <f>[1]Sheet1!B162</f>
        <v>159</v>
      </c>
      <c r="C168" s="2">
        <f>[1]Sheet1!C162</f>
        <v>2021</v>
      </c>
      <c r="D168" s="2" t="str">
        <f>[1]Sheet1!F162</f>
        <v>Data Engineer</v>
      </c>
      <c r="E168" s="2" t="str">
        <f>[1]Sheet1!Y161</f>
        <v>Mid-Level</v>
      </c>
      <c r="F168" s="2" t="str">
        <f>[1]Sheet1!Q162</f>
        <v>24000 €</v>
      </c>
      <c r="G168" s="3">
        <f>[1]Sheet1!I162</f>
        <v>28369</v>
      </c>
      <c r="H168" s="2" t="str">
        <f>[1]Sheet1!N162</f>
        <v>Full-Time</v>
      </c>
      <c r="I168" s="2" t="str">
        <f>[1]Sheet1!O162</f>
        <v>Large</v>
      </c>
      <c r="J168" s="2" t="str">
        <f>[1]Sheet1!R162</f>
        <v>Malta</v>
      </c>
      <c r="K168" s="2" t="str">
        <f>[1]Sheet1!S162</f>
        <v>Malta</v>
      </c>
      <c r="L168" s="1"/>
    </row>
    <row r="169" spans="2:12">
      <c r="B169">
        <f>[1]Sheet1!B163</f>
        <v>160</v>
      </c>
      <c r="C169" s="2">
        <f>[1]Sheet1!C163</f>
        <v>2021</v>
      </c>
      <c r="D169" s="2" t="str">
        <f>[1]Sheet1!F163</f>
        <v>Data Science Consultant</v>
      </c>
      <c r="E169" s="2" t="str">
        <f>[1]Sheet1!Y162</f>
        <v>Entry-Level</v>
      </c>
      <c r="F169" s="2" t="str">
        <f>[1]Sheet1!Q163</f>
        <v>54000 €</v>
      </c>
      <c r="G169" s="3">
        <f>[1]Sheet1!I163</f>
        <v>63831</v>
      </c>
      <c r="H169" s="2" t="str">
        <f>[1]Sheet1!N163</f>
        <v>Full-Time</v>
      </c>
      <c r="I169" s="2" t="str">
        <f>[1]Sheet1!O163</f>
        <v>Large</v>
      </c>
      <c r="J169" s="2" t="str">
        <f>[1]Sheet1!R163</f>
        <v>Germany</v>
      </c>
      <c r="K169" s="2" t="str">
        <f>[1]Sheet1!S163</f>
        <v>Germany</v>
      </c>
      <c r="L169" s="1"/>
    </row>
    <row r="170" spans="2:12">
      <c r="B170">
        <f>[1]Sheet1!B164</f>
        <v>161</v>
      </c>
      <c r="C170" s="2">
        <f>[1]Sheet1!C164</f>
        <v>2021</v>
      </c>
      <c r="D170" s="2" t="str">
        <f>[1]Sheet1!F164</f>
        <v>Director of Data Science</v>
      </c>
      <c r="E170" s="2" t="str">
        <f>[1]Sheet1!Y163</f>
        <v>Executive</v>
      </c>
      <c r="F170" s="2" t="str">
        <f>[1]Sheet1!Q164</f>
        <v>110000 €</v>
      </c>
      <c r="G170" s="3">
        <f>[1]Sheet1!I164</f>
        <v>130026</v>
      </c>
      <c r="H170" s="2" t="str">
        <f>[1]Sheet1!N164</f>
        <v>Full-Time</v>
      </c>
      <c r="I170" s="2" t="str">
        <f>[1]Sheet1!O164</f>
        <v>Contract</v>
      </c>
      <c r="J170" s="2" t="str">
        <f>[1]Sheet1!R164</f>
        <v>Germany</v>
      </c>
      <c r="K170" s="2" t="str">
        <f>[1]Sheet1!S164</f>
        <v>Germany</v>
      </c>
      <c r="L170" s="1"/>
    </row>
    <row r="171" spans="2:12">
      <c r="B171">
        <f>[1]Sheet1!B165</f>
        <v>162</v>
      </c>
      <c r="C171" s="2">
        <f>[1]Sheet1!C165</f>
        <v>2021</v>
      </c>
      <c r="D171" s="2" t="str">
        <f>[1]Sheet1!F165</f>
        <v>Data Specialist</v>
      </c>
      <c r="E171" s="2" t="str">
        <f>[1]Sheet1!Y164</f>
        <v>Senior-Level</v>
      </c>
      <c r="F171" s="2" t="str">
        <f>[1]Sheet1!Q165</f>
        <v>165000 $</v>
      </c>
      <c r="G171" s="3">
        <f>[1]Sheet1!I165</f>
        <v>165000</v>
      </c>
      <c r="H171" s="2" t="str">
        <f>[1]Sheet1!N165</f>
        <v>Full-Time</v>
      </c>
      <c r="I171" s="2" t="str">
        <f>[1]Sheet1!O165</f>
        <v>Large</v>
      </c>
      <c r="J171" s="2" t="str">
        <f>[1]Sheet1!R165</f>
        <v>United States</v>
      </c>
      <c r="K171" s="2" t="str">
        <f>[1]Sheet1!S165</f>
        <v>United States</v>
      </c>
      <c r="L171" s="1"/>
    </row>
    <row r="172" spans="2:12">
      <c r="B172">
        <f>[1]Sheet1!B166</f>
        <v>163</v>
      </c>
      <c r="C172" s="2">
        <f>[1]Sheet1!C166</f>
        <v>2021</v>
      </c>
      <c r="D172" s="2" t="str">
        <f>[1]Sheet1!F166</f>
        <v>Data Engineer</v>
      </c>
      <c r="E172" s="2" t="str">
        <f>[1]Sheet1!Y165</f>
        <v>Entry-Level</v>
      </c>
      <c r="F172" s="2" t="str">
        <f>[1]Sheet1!Q166</f>
        <v>80000 $</v>
      </c>
      <c r="G172" s="3">
        <f>[1]Sheet1!I166</f>
        <v>80000</v>
      </c>
      <c r="H172" s="2" t="str">
        <f>[1]Sheet1!N166</f>
        <v>Full-Time</v>
      </c>
      <c r="I172" s="2" t="str">
        <f>[1]Sheet1!O166</f>
        <v>Large</v>
      </c>
      <c r="J172" s="2" t="str">
        <f>[1]Sheet1!R166</f>
        <v>United States</v>
      </c>
      <c r="K172" s="2" t="str">
        <f>[1]Sheet1!S166</f>
        <v>United States</v>
      </c>
      <c r="L172" s="1"/>
    </row>
    <row r="173" spans="2:12">
      <c r="B173">
        <f>[1]Sheet1!B167</f>
        <v>164</v>
      </c>
      <c r="C173" s="2">
        <f>[1]Sheet1!C167</f>
        <v>2021</v>
      </c>
      <c r="D173" s="2" t="str">
        <f>[1]Sheet1!F167</f>
        <v>Director of Data Science</v>
      </c>
      <c r="E173" s="2" t="str">
        <f>[1]Sheet1!Y166</f>
        <v>Executive</v>
      </c>
      <c r="F173" s="2" t="str">
        <f>[1]Sheet1!Q167</f>
        <v>250000 $</v>
      </c>
      <c r="G173" s="3">
        <f>[1]Sheet1!I167</f>
        <v>250000</v>
      </c>
      <c r="H173" s="2" t="str">
        <f>[1]Sheet1!N167</f>
        <v>Full-Time</v>
      </c>
      <c r="I173" s="2" t="str">
        <f>[1]Sheet1!O167</f>
        <v>Large</v>
      </c>
      <c r="J173" s="2" t="str">
        <f>[1]Sheet1!R167</f>
        <v>United States</v>
      </c>
      <c r="K173" s="2" t="str">
        <f>[1]Sheet1!S167</f>
        <v>United States</v>
      </c>
      <c r="L173" s="1"/>
    </row>
    <row r="174" spans="2:12">
      <c r="B174">
        <f>[1]Sheet1!B168</f>
        <v>165</v>
      </c>
      <c r="C174" s="2">
        <f>[1]Sheet1!C168</f>
        <v>2021</v>
      </c>
      <c r="D174" s="2" t="str">
        <f>[1]Sheet1!F168</f>
        <v>BI Data Analyst</v>
      </c>
      <c r="E174" s="2" t="str">
        <f>[1]Sheet1!Y167</f>
        <v>Entry-Level</v>
      </c>
      <c r="F174" s="2" t="str">
        <f>[1]Sheet1!Q168</f>
        <v>55000 $</v>
      </c>
      <c r="G174" s="3">
        <f>[1]Sheet1!I168</f>
        <v>55000</v>
      </c>
      <c r="H174" s="2" t="str">
        <f>[1]Sheet1!N168</f>
        <v>Full-Time</v>
      </c>
      <c r="I174" s="2" t="str">
        <f>[1]Sheet1!O168</f>
        <v>Small</v>
      </c>
      <c r="J174" s="2" t="str">
        <f>[1]Sheet1!R168</f>
        <v>United States</v>
      </c>
      <c r="K174" s="2" t="str">
        <f>[1]Sheet1!S168</f>
        <v>United States</v>
      </c>
      <c r="L174" s="1"/>
    </row>
    <row r="175" spans="2:12">
      <c r="B175">
        <f>[1]Sheet1!B169</f>
        <v>166</v>
      </c>
      <c r="C175" s="2">
        <f>[1]Sheet1!C169</f>
        <v>2021</v>
      </c>
      <c r="D175" s="2" t="str">
        <f>[1]Sheet1!F169</f>
        <v>Data Architect</v>
      </c>
      <c r="E175" s="2" t="str">
        <f>[1]Sheet1!Y168</f>
        <v>Mid-Level</v>
      </c>
      <c r="F175" s="2" t="str">
        <f>[1]Sheet1!Q169</f>
        <v>150000 $</v>
      </c>
      <c r="G175" s="3">
        <f>[1]Sheet1!I169</f>
        <v>150000</v>
      </c>
      <c r="H175" s="2" t="str">
        <f>[1]Sheet1!N169</f>
        <v>Full-Time</v>
      </c>
      <c r="I175" s="2" t="str">
        <f>[1]Sheet1!O169</f>
        <v>Large</v>
      </c>
      <c r="J175" s="2" t="str">
        <f>[1]Sheet1!R169</f>
        <v>United States</v>
      </c>
      <c r="K175" s="2" t="str">
        <f>[1]Sheet1!S169</f>
        <v>United States</v>
      </c>
      <c r="L175" s="1"/>
    </row>
    <row r="176" spans="2:12">
      <c r="B176">
        <f>[1]Sheet1!B170</f>
        <v>167</v>
      </c>
      <c r="C176" s="2">
        <f>[1]Sheet1!C170</f>
        <v>2021</v>
      </c>
      <c r="D176" s="2" t="str">
        <f>[1]Sheet1!F170</f>
        <v>Data Architect</v>
      </c>
      <c r="E176" s="2" t="str">
        <f>[1]Sheet1!Y169</f>
        <v>Mid-Level</v>
      </c>
      <c r="F176" s="2" t="str">
        <f>[1]Sheet1!Q170</f>
        <v>170000 $</v>
      </c>
      <c r="G176" s="3">
        <f>[1]Sheet1!I170</f>
        <v>170000</v>
      </c>
      <c r="H176" s="2" t="str">
        <f>[1]Sheet1!N170</f>
        <v>Full-Time</v>
      </c>
      <c r="I176" s="2" t="str">
        <f>[1]Sheet1!O170</f>
        <v>Large</v>
      </c>
      <c r="J176" s="2" t="str">
        <f>[1]Sheet1!R170</f>
        <v>United States</v>
      </c>
      <c r="K176" s="2" t="str">
        <f>[1]Sheet1!S170</f>
        <v>United States</v>
      </c>
      <c r="L176" s="1"/>
    </row>
    <row r="177" spans="2:12">
      <c r="B177">
        <f>[1]Sheet1!B171</f>
        <v>168</v>
      </c>
      <c r="C177" s="2">
        <f>[1]Sheet1!C171</f>
        <v>2021</v>
      </c>
      <c r="D177" s="2" t="str">
        <f>[1]Sheet1!F171</f>
        <v>Data Engineer</v>
      </c>
      <c r="E177" s="2" t="str">
        <f>[1]Sheet1!Y170</f>
        <v>Mid-Level</v>
      </c>
      <c r="F177" s="2" t="str">
        <f>[1]Sheet1!Q171</f>
        <v>60000 £</v>
      </c>
      <c r="G177" s="3">
        <f>[1]Sheet1!I171</f>
        <v>82528</v>
      </c>
      <c r="H177" s="2" t="str">
        <f>[1]Sheet1!N171</f>
        <v>Full-Time</v>
      </c>
      <c r="I177" s="2" t="str">
        <f>[1]Sheet1!O171</f>
        <v>Large</v>
      </c>
      <c r="J177" s="2" t="str">
        <f>[1]Sheet1!R171</f>
        <v>United Kingdom</v>
      </c>
      <c r="K177" s="2" t="str">
        <f>[1]Sheet1!S171</f>
        <v>United Kingdom</v>
      </c>
      <c r="L177" s="1"/>
    </row>
    <row r="178" spans="2:12">
      <c r="B178">
        <f>[1]Sheet1!B172</f>
        <v>169</v>
      </c>
      <c r="C178" s="2">
        <f>[1]Sheet1!C172</f>
        <v>2021</v>
      </c>
      <c r="D178" s="2" t="str">
        <f>[1]Sheet1!F172</f>
        <v>Data Analyst</v>
      </c>
      <c r="E178" s="2" t="str">
        <f>[1]Sheet1!Y171</f>
        <v>Entry-Level</v>
      </c>
      <c r="F178" s="2" t="str">
        <f>[1]Sheet1!Q172</f>
        <v>60000 $</v>
      </c>
      <c r="G178" s="3">
        <f>[1]Sheet1!I172</f>
        <v>60000</v>
      </c>
      <c r="H178" s="2" t="str">
        <f>[1]Sheet1!N172</f>
        <v>Full-Time</v>
      </c>
      <c r="I178" s="2" t="str">
        <f>[1]Sheet1!O172</f>
        <v>Small</v>
      </c>
      <c r="J178" s="2" t="str">
        <f>[1]Sheet1!R172</f>
        <v>United States</v>
      </c>
      <c r="K178" s="2" t="str">
        <f>[1]Sheet1!S172</f>
        <v>United States</v>
      </c>
      <c r="L178" s="1"/>
    </row>
    <row r="179" spans="2:12">
      <c r="B179">
        <f>[1]Sheet1!B173</f>
        <v>170</v>
      </c>
      <c r="C179" s="2">
        <f>[1]Sheet1!C173</f>
        <v>2021</v>
      </c>
      <c r="D179" s="2" t="str">
        <f>[1]Sheet1!F173</f>
        <v>Principal Data Scientist</v>
      </c>
      <c r="E179" s="2" t="str">
        <f>[1]Sheet1!Y172</f>
        <v>Senior-Level</v>
      </c>
      <c r="F179" s="2" t="str">
        <f>[1]Sheet1!Q173</f>
        <v>235000 $</v>
      </c>
      <c r="G179" s="3">
        <f>[1]Sheet1!I173</f>
        <v>235000</v>
      </c>
      <c r="H179" s="2" t="str">
        <f>[1]Sheet1!N173</f>
        <v>Full-Time</v>
      </c>
      <c r="I179" s="2" t="str">
        <f>[1]Sheet1!O173</f>
        <v>Large</v>
      </c>
      <c r="J179" s="2" t="str">
        <f>[1]Sheet1!R173</f>
        <v>United States</v>
      </c>
      <c r="K179" s="2" t="str">
        <f>[1]Sheet1!S173</f>
        <v>United States</v>
      </c>
      <c r="L179" s="1"/>
    </row>
    <row r="180" spans="2:12">
      <c r="B180">
        <f>[1]Sheet1!B174</f>
        <v>171</v>
      </c>
      <c r="C180" s="2">
        <f>[1]Sheet1!C174</f>
        <v>2021</v>
      </c>
      <c r="D180" s="2" t="str">
        <f>[1]Sheet1!F174</f>
        <v>Research Scientist</v>
      </c>
      <c r="E180" s="2" t="str">
        <f>[1]Sheet1!Y173</f>
        <v>Senior-Level</v>
      </c>
      <c r="F180" s="2" t="str">
        <f>[1]Sheet1!Q174</f>
        <v>51400 €</v>
      </c>
      <c r="G180" s="3">
        <f>[1]Sheet1!I174</f>
        <v>60757</v>
      </c>
      <c r="H180" s="2" t="str">
        <f>[1]Sheet1!N174</f>
        <v>Full-Time</v>
      </c>
      <c r="I180" s="2" t="str">
        <f>[1]Sheet1!O174</f>
        <v>Large</v>
      </c>
      <c r="J180" s="2" t="str">
        <f>[1]Sheet1!R174</f>
        <v>Portugal</v>
      </c>
      <c r="K180" s="2" t="str">
        <f>[1]Sheet1!S174</f>
        <v>Portugal</v>
      </c>
      <c r="L180" s="1"/>
    </row>
    <row r="181" spans="2:12">
      <c r="B181">
        <f>[1]Sheet1!B175</f>
        <v>172</v>
      </c>
      <c r="C181" s="2">
        <f>[1]Sheet1!C175</f>
        <v>2021</v>
      </c>
      <c r="D181" s="2" t="str">
        <f>[1]Sheet1!F175</f>
        <v>Data Engineering Manager</v>
      </c>
      <c r="E181" s="2" t="str">
        <f>[1]Sheet1!Y174</f>
        <v>Senior-Level</v>
      </c>
      <c r="F181" s="2" t="str">
        <f>[1]Sheet1!Q175</f>
        <v>174000 $</v>
      </c>
      <c r="G181" s="3">
        <f>[1]Sheet1!I175</f>
        <v>174000</v>
      </c>
      <c r="H181" s="2" t="str">
        <f>[1]Sheet1!N175</f>
        <v>Full-Time</v>
      </c>
      <c r="I181" s="2" t="str">
        <f>[1]Sheet1!O175</f>
        <v>Large</v>
      </c>
      <c r="J181" s="2" t="str">
        <f>[1]Sheet1!R175</f>
        <v>United States</v>
      </c>
      <c r="K181" s="2" t="str">
        <f>[1]Sheet1!S175</f>
        <v>United States</v>
      </c>
      <c r="L181" s="1"/>
    </row>
    <row r="182" spans="2:12">
      <c r="B182">
        <f>[1]Sheet1!B176</f>
        <v>173</v>
      </c>
      <c r="C182" s="2">
        <f>[1]Sheet1!C176</f>
        <v>2021</v>
      </c>
      <c r="D182" s="2" t="str">
        <f>[1]Sheet1!F176</f>
        <v>Data Scientist</v>
      </c>
      <c r="E182" s="2" t="str">
        <f>[1]Sheet1!Y175</f>
        <v>Mid-Level</v>
      </c>
      <c r="F182" s="2" t="str">
        <f>[1]Sheet1!Q176</f>
        <v>58000 Mex$</v>
      </c>
      <c r="G182" s="3">
        <f>[1]Sheet1!I176</f>
        <v>2859</v>
      </c>
      <c r="H182" s="2" t="str">
        <f>[1]Sheet1!N176</f>
        <v>Full-Time</v>
      </c>
      <c r="I182" s="2" t="str">
        <f>[1]Sheet1!O176</f>
        <v>Small</v>
      </c>
      <c r="J182" s="2" t="str">
        <f>[1]Sheet1!R176</f>
        <v>Mexico</v>
      </c>
      <c r="K182" s="2" t="str">
        <f>[1]Sheet1!S176</f>
        <v>Mexico</v>
      </c>
      <c r="L182" s="1"/>
    </row>
    <row r="183" spans="2:12">
      <c r="B183">
        <f>[1]Sheet1!B177</f>
        <v>174</v>
      </c>
      <c r="C183" s="2">
        <f>[1]Sheet1!C177</f>
        <v>2021</v>
      </c>
      <c r="D183" s="2" t="str">
        <f>[1]Sheet1!F177</f>
        <v>Data Scientist</v>
      </c>
      <c r="E183" s="2" t="str">
        <f>[1]Sheet1!Y176</f>
        <v>Mid-Level</v>
      </c>
      <c r="F183" s="2" t="str">
        <f>[1]Sheet1!Q177</f>
        <v>30400000 CLP$</v>
      </c>
      <c r="G183" s="3">
        <f>[1]Sheet1!I177</f>
        <v>40038</v>
      </c>
      <c r="H183" s="2" t="str">
        <f>[1]Sheet1!N177</f>
        <v>Full-Time</v>
      </c>
      <c r="I183" s="2" t="str">
        <f>[1]Sheet1!O177</f>
        <v>Large</v>
      </c>
      <c r="J183" s="2" t="str">
        <f>[1]Sheet1!R177</f>
        <v>Chile</v>
      </c>
      <c r="K183" s="2" t="str">
        <f>[1]Sheet1!S177</f>
        <v>Chile</v>
      </c>
      <c r="L183" s="1"/>
    </row>
    <row r="184" spans="2:12">
      <c r="B184">
        <f>[1]Sheet1!B178</f>
        <v>175</v>
      </c>
      <c r="C184" s="2">
        <f>[1]Sheet1!C178</f>
        <v>2021</v>
      </c>
      <c r="D184" s="2" t="str">
        <f>[1]Sheet1!F178</f>
        <v>Machine Learning Engineer</v>
      </c>
      <c r="E184" s="2" t="str">
        <f>[1]Sheet1!Y177</f>
        <v>Entry-Level</v>
      </c>
      <c r="F184" s="2" t="str">
        <f>[1]Sheet1!Q178</f>
        <v>81000 $</v>
      </c>
      <c r="G184" s="3">
        <f>[1]Sheet1!I178</f>
        <v>81000</v>
      </c>
      <c r="H184" s="2" t="str">
        <f>[1]Sheet1!N178</f>
        <v>Full-Time</v>
      </c>
      <c r="I184" s="2" t="str">
        <f>[1]Sheet1!O178</f>
        <v>Small</v>
      </c>
      <c r="J184" s="2" t="str">
        <f>[1]Sheet1!R178</f>
        <v>United States</v>
      </c>
      <c r="K184" s="2" t="str">
        <f>[1]Sheet1!S178</f>
        <v>United States</v>
      </c>
      <c r="L184" s="1"/>
    </row>
    <row r="185" spans="2:12">
      <c r="B185">
        <f>[1]Sheet1!B179</f>
        <v>176</v>
      </c>
      <c r="C185" s="2">
        <f>[1]Sheet1!C179</f>
        <v>2021</v>
      </c>
      <c r="D185" s="2" t="str">
        <f>[1]Sheet1!F179</f>
        <v>Data Scientist</v>
      </c>
      <c r="E185" s="2" t="str">
        <f>[1]Sheet1!Y178</f>
        <v>Mid-Level</v>
      </c>
      <c r="F185" s="2" t="str">
        <f>[1]Sheet1!Q179</f>
        <v>420000 ₹</v>
      </c>
      <c r="G185" s="3">
        <f>[1]Sheet1!I179</f>
        <v>5679</v>
      </c>
      <c r="H185" s="2" t="str">
        <f>[1]Sheet1!N179</f>
        <v>Full-Time</v>
      </c>
      <c r="I185" s="2" t="str">
        <f>[1]Sheet1!O179</f>
        <v>Small</v>
      </c>
      <c r="J185" s="2" t="str">
        <f>[1]Sheet1!R179</f>
        <v>India</v>
      </c>
      <c r="K185" s="2" t="str">
        <f>[1]Sheet1!S179</f>
        <v>United States</v>
      </c>
      <c r="L185" s="1"/>
    </row>
    <row r="186" spans="2:12">
      <c r="B186">
        <f>[1]Sheet1!B180</f>
        <v>177</v>
      </c>
      <c r="C186" s="2">
        <f>[1]Sheet1!C180</f>
        <v>2021</v>
      </c>
      <c r="D186" s="2" t="str">
        <f>[1]Sheet1!F180</f>
        <v>Big Data Engineer</v>
      </c>
      <c r="E186" s="2" t="str">
        <f>[1]Sheet1!Y179</f>
        <v>Mid-Level</v>
      </c>
      <c r="F186" s="2" t="str">
        <f>[1]Sheet1!Q180</f>
        <v>1672000 ₹</v>
      </c>
      <c r="G186" s="3">
        <f>[1]Sheet1!I180</f>
        <v>22611</v>
      </c>
      <c r="H186" s="2" t="str">
        <f>[1]Sheet1!N180</f>
        <v>Full-Time</v>
      </c>
      <c r="I186" s="2" t="str">
        <f>[1]Sheet1!O180</f>
        <v>Large</v>
      </c>
      <c r="J186" s="2" t="str">
        <f>[1]Sheet1!R180</f>
        <v>India</v>
      </c>
      <c r="K186" s="2" t="str">
        <f>[1]Sheet1!S180</f>
        <v>India</v>
      </c>
      <c r="L186" s="1"/>
    </row>
    <row r="187" spans="2:12">
      <c r="B187">
        <f>[1]Sheet1!B181</f>
        <v>178</v>
      </c>
      <c r="C187" s="2">
        <f>[1]Sheet1!C181</f>
        <v>2021</v>
      </c>
      <c r="D187" s="2" t="str">
        <f>[1]Sheet1!F181</f>
        <v>Data Scientist</v>
      </c>
      <c r="E187" s="2" t="str">
        <f>[1]Sheet1!Y180</f>
        <v>Mid-Level</v>
      </c>
      <c r="F187" s="2" t="str">
        <f>[1]Sheet1!Q181</f>
        <v>76760 €</v>
      </c>
      <c r="G187" s="3">
        <f>[1]Sheet1!I181</f>
        <v>90734</v>
      </c>
      <c r="H187" s="2" t="str">
        <f>[1]Sheet1!N181</f>
        <v>Full-Time</v>
      </c>
      <c r="I187" s="2" t="str">
        <f>[1]Sheet1!O181</f>
        <v>Large</v>
      </c>
      <c r="J187" s="2" t="str">
        <f>[1]Sheet1!R181</f>
        <v>Germany</v>
      </c>
      <c r="K187" s="2" t="str">
        <f>[1]Sheet1!S181</f>
        <v>Germany</v>
      </c>
      <c r="L187" s="1"/>
    </row>
    <row r="188" spans="2:12">
      <c r="B188">
        <f>[1]Sheet1!B182</f>
        <v>179</v>
      </c>
      <c r="C188" s="2">
        <f>[1]Sheet1!C182</f>
        <v>2021</v>
      </c>
      <c r="D188" s="2" t="str">
        <f>[1]Sheet1!F182</f>
        <v>Data Engineer</v>
      </c>
      <c r="E188" s="2" t="str">
        <f>[1]Sheet1!Y181</f>
        <v>Mid-Level</v>
      </c>
      <c r="F188" s="2" t="str">
        <f>[1]Sheet1!Q182</f>
        <v>22000 €</v>
      </c>
      <c r="G188" s="3">
        <f>[1]Sheet1!I182</f>
        <v>26005</v>
      </c>
      <c r="H188" s="2" t="str">
        <f>[1]Sheet1!N182</f>
        <v>Full-Time</v>
      </c>
      <c r="I188" s="2" t="str">
        <f>[1]Sheet1!O182</f>
        <v>Large</v>
      </c>
      <c r="J188" s="2" t="str">
        <f>[1]Sheet1!R182</f>
        <v>Romania</v>
      </c>
      <c r="K188" s="2" t="str">
        <f>[1]Sheet1!S182</f>
        <v>United States</v>
      </c>
      <c r="L188" s="1"/>
    </row>
    <row r="189" spans="2:12">
      <c r="B189">
        <f>[1]Sheet1!B183</f>
        <v>180</v>
      </c>
      <c r="C189" s="2">
        <f>[1]Sheet1!C183</f>
        <v>2021</v>
      </c>
      <c r="D189" s="2" t="str">
        <f>[1]Sheet1!F183</f>
        <v>Finance Data Analyst</v>
      </c>
      <c r="E189" s="2" t="str">
        <f>[1]Sheet1!Y182</f>
        <v>Senior-Level</v>
      </c>
      <c r="F189" s="2" t="str">
        <f>[1]Sheet1!Q183</f>
        <v>45000 £</v>
      </c>
      <c r="G189" s="3">
        <f>[1]Sheet1!I183</f>
        <v>61896</v>
      </c>
      <c r="H189" s="2" t="str">
        <f>[1]Sheet1!N183</f>
        <v>Full-Time</v>
      </c>
      <c r="I189" s="2" t="str">
        <f>[1]Sheet1!O183</f>
        <v>Large</v>
      </c>
      <c r="J189" s="2" t="str">
        <f>[1]Sheet1!R183</f>
        <v>United Kingdom</v>
      </c>
      <c r="K189" s="2" t="str">
        <f>[1]Sheet1!S183</f>
        <v>United Kingdom</v>
      </c>
      <c r="L189" s="1"/>
    </row>
    <row r="190" spans="2:12">
      <c r="B190">
        <f>[1]Sheet1!B184</f>
        <v>181</v>
      </c>
      <c r="C190" s="2">
        <f>[1]Sheet1!C184</f>
        <v>2021</v>
      </c>
      <c r="D190" s="2" t="str">
        <f>[1]Sheet1!F184</f>
        <v>Machine Learning Scientist</v>
      </c>
      <c r="E190" s="2" t="str">
        <f>[1]Sheet1!Y183</f>
        <v>Mid-Level</v>
      </c>
      <c r="F190" s="2" t="str">
        <f>[1]Sheet1!Q184</f>
        <v>12000 $</v>
      </c>
      <c r="G190" s="3">
        <f>[1]Sheet1!I184</f>
        <v>12000</v>
      </c>
      <c r="H190" s="2" t="str">
        <f>[1]Sheet1!N184</f>
        <v>Freelance</v>
      </c>
      <c r="I190" s="2" t="str">
        <f>[1]Sheet1!O184</f>
        <v>Contract</v>
      </c>
      <c r="J190" s="2" t="str">
        <f>[1]Sheet1!R184</f>
        <v>Pakistan</v>
      </c>
      <c r="K190" s="2" t="str">
        <f>[1]Sheet1!S184</f>
        <v>Pakistan</v>
      </c>
      <c r="L190" s="1"/>
    </row>
    <row r="191" spans="2:12">
      <c r="B191">
        <f>[1]Sheet1!B185</f>
        <v>182</v>
      </c>
      <c r="C191" s="2">
        <f>[1]Sheet1!C185</f>
        <v>2021</v>
      </c>
      <c r="D191" s="2" t="str">
        <f>[1]Sheet1!F185</f>
        <v>Data Engineer</v>
      </c>
      <c r="E191" s="2" t="str">
        <f>[1]Sheet1!Y184</f>
        <v>Mid-Level</v>
      </c>
      <c r="F191" s="2" t="str">
        <f>[1]Sheet1!Q185</f>
        <v>4000 $</v>
      </c>
      <c r="G191" s="3">
        <f>[1]Sheet1!I185</f>
        <v>4000</v>
      </c>
      <c r="H191" s="2" t="str">
        <f>[1]Sheet1!N185</f>
        <v>Full-Time</v>
      </c>
      <c r="I191" s="2" t="str">
        <f>[1]Sheet1!O185</f>
        <v>Contract</v>
      </c>
      <c r="J191" s="2" t="str">
        <f>[1]Sheet1!R185</f>
        <v>Iran</v>
      </c>
      <c r="K191" s="2" t="str">
        <f>[1]Sheet1!S185</f>
        <v>Iran</v>
      </c>
      <c r="L191" s="1"/>
    </row>
    <row r="192" spans="2:12">
      <c r="B192">
        <f>[1]Sheet1!B186</f>
        <v>183</v>
      </c>
      <c r="C192" s="2">
        <f>[1]Sheet1!C186</f>
        <v>2021</v>
      </c>
      <c r="D192" s="2" t="str">
        <f>[1]Sheet1!F186</f>
        <v>Data Analytics Engineer</v>
      </c>
      <c r="E192" s="2" t="str">
        <f>[1]Sheet1!Y185</f>
        <v>Senior-Level</v>
      </c>
      <c r="F192" s="2" t="str">
        <f>[1]Sheet1!Q186</f>
        <v>50000 $</v>
      </c>
      <c r="G192" s="3">
        <f>[1]Sheet1!I186</f>
        <v>50000</v>
      </c>
      <c r="H192" s="2" t="str">
        <f>[1]Sheet1!N186</f>
        <v>Full-Time</v>
      </c>
      <c r="I192" s="2" t="str">
        <f>[1]Sheet1!O186</f>
        <v>Contract</v>
      </c>
      <c r="J192" s="2" t="str">
        <f>[1]Sheet1!R186</f>
        <v>Vietnam</v>
      </c>
      <c r="K192" s="2" t="str">
        <f>[1]Sheet1!S186</f>
        <v>United Kingdom</v>
      </c>
      <c r="L192" s="1"/>
    </row>
    <row r="193" spans="2:12">
      <c r="B193">
        <f>[1]Sheet1!B187</f>
        <v>184</v>
      </c>
      <c r="C193" s="2">
        <f>[1]Sheet1!C187</f>
        <v>2021</v>
      </c>
      <c r="D193" s="2" t="str">
        <f>[1]Sheet1!F187</f>
        <v>Data Science Consultant</v>
      </c>
      <c r="E193" s="2" t="str">
        <f>[1]Sheet1!Y186</f>
        <v>Executive</v>
      </c>
      <c r="F193" s="2" t="str">
        <f>[1]Sheet1!Q187</f>
        <v>59000 €</v>
      </c>
      <c r="G193" s="3">
        <f>[1]Sheet1!I187</f>
        <v>69741</v>
      </c>
      <c r="H193" s="2" t="str">
        <f>[1]Sheet1!N187</f>
        <v>Full-Time</v>
      </c>
      <c r="I193" s="2" t="str">
        <f>[1]Sheet1!O187</f>
        <v>Small</v>
      </c>
      <c r="J193" s="2" t="str">
        <f>[1]Sheet1!R187</f>
        <v>France</v>
      </c>
      <c r="K193" s="2" t="str">
        <f>[1]Sheet1!S187</f>
        <v>Spain</v>
      </c>
      <c r="L193" s="1"/>
    </row>
    <row r="194" spans="2:12">
      <c r="B194">
        <f>[1]Sheet1!B188</f>
        <v>185</v>
      </c>
      <c r="C194" s="2">
        <f>[1]Sheet1!C188</f>
        <v>2021</v>
      </c>
      <c r="D194" s="2" t="str">
        <f>[1]Sheet1!F188</f>
        <v>Data Engineer</v>
      </c>
      <c r="E194" s="2" t="str">
        <f>[1]Sheet1!Y187</f>
        <v>Senior-Level</v>
      </c>
      <c r="F194" s="2" t="str">
        <f>[1]Sheet1!Q188</f>
        <v>65000 €</v>
      </c>
      <c r="G194" s="3">
        <f>[1]Sheet1!I188</f>
        <v>76833</v>
      </c>
      <c r="H194" s="2" t="str">
        <f>[1]Sheet1!N188</f>
        <v>Full-Time</v>
      </c>
      <c r="I194" s="2" t="str">
        <f>[1]Sheet1!O188</f>
        <v>Small</v>
      </c>
      <c r="J194" s="2" t="str">
        <f>[1]Sheet1!R188</f>
        <v>Romania</v>
      </c>
      <c r="K194" s="2" t="str">
        <f>[1]Sheet1!S188</f>
        <v>United Kingdom</v>
      </c>
      <c r="L194" s="1"/>
    </row>
    <row r="195" spans="2:12">
      <c r="B195">
        <f>[1]Sheet1!B189</f>
        <v>186</v>
      </c>
      <c r="C195" s="2">
        <f>[1]Sheet1!C189</f>
        <v>2021</v>
      </c>
      <c r="D195" s="2" t="str">
        <f>[1]Sheet1!F189</f>
        <v>Machine Learning Engineer</v>
      </c>
      <c r="E195" s="2" t="str">
        <f>[1]Sheet1!Y188</f>
        <v>Mid-Level</v>
      </c>
      <c r="F195" s="2" t="str">
        <f>[1]Sheet1!Q189</f>
        <v>74000 $</v>
      </c>
      <c r="G195" s="3">
        <f>[1]Sheet1!I189</f>
        <v>74000</v>
      </c>
      <c r="H195" s="2" t="str">
        <f>[1]Sheet1!N189</f>
        <v>Full-Time</v>
      </c>
      <c r="I195" s="2" t="str">
        <f>[1]Sheet1!O189</f>
        <v>Small</v>
      </c>
      <c r="J195" s="2" t="str">
        <f>[1]Sheet1!R189</f>
        <v>Japan</v>
      </c>
      <c r="K195" s="2" t="str">
        <f>[1]Sheet1!S189</f>
        <v>Japan</v>
      </c>
      <c r="L195" s="1"/>
    </row>
    <row r="196" spans="2:12">
      <c r="B196">
        <f>[1]Sheet1!B190</f>
        <v>187</v>
      </c>
      <c r="C196" s="2">
        <f>[1]Sheet1!C190</f>
        <v>2021</v>
      </c>
      <c r="D196" s="2" t="str">
        <f>[1]Sheet1!F190</f>
        <v>Data Science Manager</v>
      </c>
      <c r="E196" s="2" t="str">
        <f>[1]Sheet1!Y189</f>
        <v>Senior-Level</v>
      </c>
      <c r="F196" s="2" t="str">
        <f>[1]Sheet1!Q190</f>
        <v>152000 $</v>
      </c>
      <c r="G196" s="3">
        <f>[1]Sheet1!I190</f>
        <v>152000</v>
      </c>
      <c r="H196" s="2" t="str">
        <f>[1]Sheet1!N190</f>
        <v>Full-Time</v>
      </c>
      <c r="I196" s="2" t="str">
        <f>[1]Sheet1!O190</f>
        <v>Large</v>
      </c>
      <c r="J196" s="2" t="str">
        <f>[1]Sheet1!R190</f>
        <v>United States</v>
      </c>
      <c r="K196" s="2" t="str">
        <f>[1]Sheet1!S190</f>
        <v>France</v>
      </c>
      <c r="L196" s="1"/>
    </row>
    <row r="197" spans="2:12">
      <c r="B197">
        <f>[1]Sheet1!B191</f>
        <v>188</v>
      </c>
      <c r="C197" s="2">
        <f>[1]Sheet1!C191</f>
        <v>2021</v>
      </c>
      <c r="D197" s="2" t="str">
        <f>[1]Sheet1!F191</f>
        <v>Machine Learning Engineer</v>
      </c>
      <c r="E197" s="2" t="str">
        <f>[1]Sheet1!Y190</f>
        <v>Entry-Level</v>
      </c>
      <c r="F197" s="2" t="str">
        <f>[1]Sheet1!Q191</f>
        <v>21844 $</v>
      </c>
      <c r="G197" s="3">
        <f>[1]Sheet1!I191</f>
        <v>21844</v>
      </c>
      <c r="H197" s="2" t="str">
        <f>[1]Sheet1!N191</f>
        <v>Full-Time</v>
      </c>
      <c r="I197" s="2" t="str">
        <f>[1]Sheet1!O191</f>
        <v>Contract</v>
      </c>
      <c r="J197" s="2" t="str">
        <f>[1]Sheet1!R191</f>
        <v>Colombia</v>
      </c>
      <c r="K197" s="2" t="str">
        <f>[1]Sheet1!S191</f>
        <v>Colombia</v>
      </c>
      <c r="L197" s="1"/>
    </row>
    <row r="198" spans="2:12">
      <c r="B198">
        <f>[1]Sheet1!B192</f>
        <v>189</v>
      </c>
      <c r="C198" s="2">
        <f>[1]Sheet1!C192</f>
        <v>2021</v>
      </c>
      <c r="D198" s="2" t="str">
        <f>[1]Sheet1!F192</f>
        <v>Big Data Engineer</v>
      </c>
      <c r="E198" s="2" t="str">
        <f>[1]Sheet1!Y191</f>
        <v>Mid-Level</v>
      </c>
      <c r="F198" s="2" t="str">
        <f>[1]Sheet1!Q192</f>
        <v>18000 $</v>
      </c>
      <c r="G198" s="3">
        <f>[1]Sheet1!I192</f>
        <v>18000</v>
      </c>
      <c r="H198" s="2" t="str">
        <f>[1]Sheet1!N192</f>
        <v>Full-Time</v>
      </c>
      <c r="I198" s="2" t="str">
        <f>[1]Sheet1!O192</f>
        <v>Small</v>
      </c>
      <c r="J198" s="2" t="str">
        <f>[1]Sheet1!R192</f>
        <v>Moldova</v>
      </c>
      <c r="K198" s="2" t="str">
        <f>[1]Sheet1!S192</f>
        <v>Moldova</v>
      </c>
      <c r="L198" s="1"/>
    </row>
    <row r="199" spans="2:12">
      <c r="B199">
        <f>[1]Sheet1!B193</f>
        <v>190</v>
      </c>
      <c r="C199" s="2">
        <f>[1]Sheet1!C193</f>
        <v>2021</v>
      </c>
      <c r="D199" s="2" t="str">
        <f>[1]Sheet1!F193</f>
        <v>Data Science Manager</v>
      </c>
      <c r="E199" s="2" t="str">
        <f>[1]Sheet1!Y192</f>
        <v>Senior-Level</v>
      </c>
      <c r="F199" s="2" t="str">
        <f>[1]Sheet1!Q193</f>
        <v>174000 $</v>
      </c>
      <c r="G199" s="3">
        <f>[1]Sheet1!I193</f>
        <v>174000</v>
      </c>
      <c r="H199" s="2" t="str">
        <f>[1]Sheet1!N193</f>
        <v>Full-Time</v>
      </c>
      <c r="I199" s="2" t="str">
        <f>[1]Sheet1!O193</f>
        <v>Large</v>
      </c>
      <c r="J199" s="2" t="str">
        <f>[1]Sheet1!R193</f>
        <v>United States</v>
      </c>
      <c r="K199" s="2" t="str">
        <f>[1]Sheet1!S193</f>
        <v>United States</v>
      </c>
      <c r="L199" s="1"/>
    </row>
    <row r="200" spans="2:12">
      <c r="B200">
        <f>[1]Sheet1!B194</f>
        <v>191</v>
      </c>
      <c r="C200" s="2">
        <f>[1]Sheet1!C194</f>
        <v>2021</v>
      </c>
      <c r="D200" s="2" t="str">
        <f>[1]Sheet1!F194</f>
        <v>Research Scientist</v>
      </c>
      <c r="E200" s="2" t="str">
        <f>[1]Sheet1!Y193</f>
        <v>Senior-Level</v>
      </c>
      <c r="F200" s="2" t="str">
        <f>[1]Sheet1!Q194</f>
        <v>120500 C$</v>
      </c>
      <c r="G200" s="3">
        <f>[1]Sheet1!I194</f>
        <v>96113</v>
      </c>
      <c r="H200" s="2" t="str">
        <f>[1]Sheet1!N194</f>
        <v>Full-Time</v>
      </c>
      <c r="I200" s="2" t="str">
        <f>[1]Sheet1!O194</f>
        <v>Large</v>
      </c>
      <c r="J200" s="2" t="str">
        <f>[1]Sheet1!R194</f>
        <v>Canada</v>
      </c>
      <c r="K200" s="2" t="str">
        <f>[1]Sheet1!S194</f>
        <v>Canada</v>
      </c>
      <c r="L200" s="1"/>
    </row>
    <row r="201" spans="2:12">
      <c r="B201">
        <f>[1]Sheet1!B195</f>
        <v>192</v>
      </c>
      <c r="C201" s="2">
        <f>[1]Sheet1!C195</f>
        <v>2021</v>
      </c>
      <c r="D201" s="2" t="str">
        <f>[1]Sheet1!F195</f>
        <v>Data Scientist</v>
      </c>
      <c r="E201" s="2" t="str">
        <f>[1]Sheet1!Y194</f>
        <v>Mid-Level</v>
      </c>
      <c r="F201" s="2" t="str">
        <f>[1]Sheet1!Q195</f>
        <v>147000 $</v>
      </c>
      <c r="G201" s="3">
        <f>[1]Sheet1!I195</f>
        <v>147000</v>
      </c>
      <c r="H201" s="2" t="str">
        <f>[1]Sheet1!N195</f>
        <v>Full-Time</v>
      </c>
      <c r="I201" s="2" t="str">
        <f>[1]Sheet1!O195</f>
        <v>Large</v>
      </c>
      <c r="J201" s="2" t="str">
        <f>[1]Sheet1!R195</f>
        <v>United States</v>
      </c>
      <c r="K201" s="2" t="str">
        <f>[1]Sheet1!S195</f>
        <v>United States</v>
      </c>
      <c r="L201" s="1"/>
    </row>
    <row r="202" spans="2:12">
      <c r="B202">
        <f>[1]Sheet1!B196</f>
        <v>193</v>
      </c>
      <c r="C202" s="2">
        <f>[1]Sheet1!C196</f>
        <v>2021</v>
      </c>
      <c r="D202" s="2" t="str">
        <f>[1]Sheet1!F196</f>
        <v>BI Data Analyst</v>
      </c>
      <c r="E202" s="2" t="str">
        <f>[1]Sheet1!Y195</f>
        <v>Entry-Level</v>
      </c>
      <c r="F202" s="2" t="str">
        <f>[1]Sheet1!Q196</f>
        <v>9272 $</v>
      </c>
      <c r="G202" s="3">
        <f>[1]Sheet1!I196</f>
        <v>9272</v>
      </c>
      <c r="H202" s="2" t="str">
        <f>[1]Sheet1!N196</f>
        <v>Full-Time</v>
      </c>
      <c r="I202" s="2" t="str">
        <f>[1]Sheet1!O196</f>
        <v>Small</v>
      </c>
      <c r="J202" s="2" t="str">
        <f>[1]Sheet1!R196</f>
        <v>Kenya</v>
      </c>
      <c r="K202" s="2" t="str">
        <f>[1]Sheet1!S196</f>
        <v>Kenya</v>
      </c>
      <c r="L202" s="1"/>
    </row>
    <row r="203" spans="2:12">
      <c r="B203">
        <f>[1]Sheet1!B197</f>
        <v>194</v>
      </c>
      <c r="C203" s="2">
        <f>[1]Sheet1!C197</f>
        <v>2021</v>
      </c>
      <c r="D203" s="2" t="str">
        <f>[1]Sheet1!F197</f>
        <v>Machine Learning Engineer</v>
      </c>
      <c r="E203" s="2" t="str">
        <f>[1]Sheet1!Y196</f>
        <v>Senior-Level</v>
      </c>
      <c r="F203" s="2" t="str">
        <f>[1]Sheet1!Q197</f>
        <v>1799997 ₹</v>
      </c>
      <c r="G203" s="3">
        <f>[1]Sheet1!I197</f>
        <v>24342</v>
      </c>
      <c r="H203" s="2" t="str">
        <f>[1]Sheet1!N197</f>
        <v>Full-Time</v>
      </c>
      <c r="I203" s="2" t="str">
        <f>[1]Sheet1!O197</f>
        <v>Large</v>
      </c>
      <c r="J203" s="2" t="str">
        <f>[1]Sheet1!R197</f>
        <v>India</v>
      </c>
      <c r="K203" s="2" t="str">
        <f>[1]Sheet1!S197</f>
        <v>India</v>
      </c>
      <c r="L203" s="1"/>
    </row>
    <row r="204" spans="2:12">
      <c r="B204">
        <f>[1]Sheet1!B198</f>
        <v>195</v>
      </c>
      <c r="C204" s="2">
        <f>[1]Sheet1!C198</f>
        <v>2021</v>
      </c>
      <c r="D204" s="2" t="str">
        <f>[1]Sheet1!F198</f>
        <v>Data Science Manager</v>
      </c>
      <c r="E204" s="2" t="str">
        <f>[1]Sheet1!Y197</f>
        <v>Senior-Level</v>
      </c>
      <c r="F204" s="2" t="str">
        <f>[1]Sheet1!Q198</f>
        <v>4000000 ₹</v>
      </c>
      <c r="G204" s="3">
        <f>[1]Sheet1!I198</f>
        <v>54094</v>
      </c>
      <c r="H204" s="2" t="str">
        <f>[1]Sheet1!N198</f>
        <v>Full-Time</v>
      </c>
      <c r="I204" s="2" t="str">
        <f>[1]Sheet1!O198</f>
        <v>Large</v>
      </c>
      <c r="J204" s="2" t="str">
        <f>[1]Sheet1!R198</f>
        <v>India</v>
      </c>
      <c r="K204" s="2" t="str">
        <f>[1]Sheet1!S198</f>
        <v>United States</v>
      </c>
      <c r="L204" s="1"/>
    </row>
    <row r="205" spans="2:12">
      <c r="B205">
        <f>[1]Sheet1!B199</f>
        <v>196</v>
      </c>
      <c r="C205" s="2">
        <f>[1]Sheet1!C199</f>
        <v>2021</v>
      </c>
      <c r="D205" s="2" t="str">
        <f>[1]Sheet1!F199</f>
        <v>Data Science Consultant</v>
      </c>
      <c r="E205" s="2" t="str">
        <f>[1]Sheet1!Y198</f>
        <v>Entry-Level</v>
      </c>
      <c r="F205" s="2" t="str">
        <f>[1]Sheet1!Q199</f>
        <v>90000 $</v>
      </c>
      <c r="G205" s="3">
        <f>[1]Sheet1!I199</f>
        <v>90000</v>
      </c>
      <c r="H205" s="2" t="str">
        <f>[1]Sheet1!N199</f>
        <v>Full-Time</v>
      </c>
      <c r="I205" s="2" t="str">
        <f>[1]Sheet1!O199</f>
        <v>Small</v>
      </c>
      <c r="J205" s="2" t="str">
        <f>[1]Sheet1!R199</f>
        <v>United States</v>
      </c>
      <c r="K205" s="2" t="str">
        <f>[1]Sheet1!S199</f>
        <v>United States</v>
      </c>
      <c r="L205" s="1"/>
    </row>
    <row r="206" spans="2:12">
      <c r="B206">
        <f>[1]Sheet1!B200</f>
        <v>197</v>
      </c>
      <c r="C206" s="2">
        <f>[1]Sheet1!C200</f>
        <v>2021</v>
      </c>
      <c r="D206" s="2" t="str">
        <f>[1]Sheet1!F200</f>
        <v>Data Scientist</v>
      </c>
      <c r="E206" s="2" t="str">
        <f>[1]Sheet1!Y199</f>
        <v>Mid-Level</v>
      </c>
      <c r="F206" s="2" t="str">
        <f>[1]Sheet1!Q200</f>
        <v>52000 €</v>
      </c>
      <c r="G206" s="3">
        <f>[1]Sheet1!I200</f>
        <v>61467</v>
      </c>
      <c r="H206" s="2" t="str">
        <f>[1]Sheet1!N200</f>
        <v>Full-Time</v>
      </c>
      <c r="I206" s="2" t="str">
        <f>[1]Sheet1!O200</f>
        <v>Contract</v>
      </c>
      <c r="J206" s="2" t="str">
        <f>[1]Sheet1!R200</f>
        <v>Germany</v>
      </c>
      <c r="K206" s="2" t="str">
        <f>[1]Sheet1!S200</f>
        <v>Austria</v>
      </c>
      <c r="L206" s="1"/>
    </row>
    <row r="207" spans="2:12">
      <c r="B207">
        <f>[1]Sheet1!B201</f>
        <v>198</v>
      </c>
      <c r="C207" s="2">
        <f>[1]Sheet1!C201</f>
        <v>2021</v>
      </c>
      <c r="D207" s="2" t="str">
        <f>[1]Sheet1!F201</f>
        <v>Machine Learning Infrastructure Engineer</v>
      </c>
      <c r="E207" s="2" t="str">
        <f>[1]Sheet1!Y200</f>
        <v>Senior-Level</v>
      </c>
      <c r="F207" s="2" t="str">
        <f>[1]Sheet1!Q201</f>
        <v>195000 $</v>
      </c>
      <c r="G207" s="3">
        <f>[1]Sheet1!I201</f>
        <v>195000</v>
      </c>
      <c r="H207" s="2" t="str">
        <f>[1]Sheet1!N201</f>
        <v>Full-Time</v>
      </c>
      <c r="I207" s="2" t="str">
        <f>[1]Sheet1!O201</f>
        <v>Contract</v>
      </c>
      <c r="J207" s="2" t="str">
        <f>[1]Sheet1!R201</f>
        <v>United States</v>
      </c>
      <c r="K207" s="2" t="str">
        <f>[1]Sheet1!S201</f>
        <v>United States</v>
      </c>
      <c r="L207" s="1"/>
    </row>
    <row r="208" spans="2:12">
      <c r="B208">
        <f>[1]Sheet1!B202</f>
        <v>199</v>
      </c>
      <c r="C208" s="2">
        <f>[1]Sheet1!C202</f>
        <v>2021</v>
      </c>
      <c r="D208" s="2" t="str">
        <f>[1]Sheet1!F202</f>
        <v>Data Scientist</v>
      </c>
      <c r="E208" s="2" t="str">
        <f>[1]Sheet1!Y201</f>
        <v>Mid-Level</v>
      </c>
      <c r="F208" s="2" t="str">
        <f>[1]Sheet1!Q202</f>
        <v>32000 €</v>
      </c>
      <c r="G208" s="3">
        <f>[1]Sheet1!I202</f>
        <v>37825</v>
      </c>
      <c r="H208" s="2" t="str">
        <f>[1]Sheet1!N202</f>
        <v>Full-Time</v>
      </c>
      <c r="I208" s="2" t="str">
        <f>[1]Sheet1!O202</f>
        <v>Large</v>
      </c>
      <c r="J208" s="2" t="str">
        <f>[1]Sheet1!R202</f>
        <v>Spain</v>
      </c>
      <c r="K208" s="2" t="str">
        <f>[1]Sheet1!S202</f>
        <v>Spain</v>
      </c>
      <c r="L208" s="1"/>
    </row>
    <row r="209" spans="2:12">
      <c r="B209">
        <f>[1]Sheet1!B203</f>
        <v>200</v>
      </c>
      <c r="C209" s="2">
        <f>[1]Sheet1!C203</f>
        <v>2021</v>
      </c>
      <c r="D209" s="2" t="str">
        <f>[1]Sheet1!F203</f>
        <v>Research Scientist</v>
      </c>
      <c r="E209" s="2" t="str">
        <f>[1]Sheet1!Y202</f>
        <v>Senior-Level</v>
      </c>
      <c r="F209" s="2" t="str">
        <f>[1]Sheet1!Q203</f>
        <v>50000 $</v>
      </c>
      <c r="G209" s="3">
        <f>[1]Sheet1!I203</f>
        <v>50000</v>
      </c>
      <c r="H209" s="2" t="str">
        <f>[1]Sheet1!N203</f>
        <v>Full-Time</v>
      </c>
      <c r="I209" s="2" t="str">
        <f>[1]Sheet1!O203</f>
        <v>Small</v>
      </c>
      <c r="J209" s="2" t="str">
        <f>[1]Sheet1!R203</f>
        <v>France</v>
      </c>
      <c r="K209" s="2" t="str">
        <f>[1]Sheet1!S203</f>
        <v>United States</v>
      </c>
      <c r="L209" s="1"/>
    </row>
    <row r="210" spans="2:12">
      <c r="B210">
        <f>[1]Sheet1!B204</f>
        <v>201</v>
      </c>
      <c r="C210" s="2">
        <f>[1]Sheet1!C204</f>
        <v>2021</v>
      </c>
      <c r="D210" s="2" t="str">
        <f>[1]Sheet1!F204</f>
        <v>Data Scientist</v>
      </c>
      <c r="E210" s="2" t="str">
        <f>[1]Sheet1!Y203</f>
        <v>Mid-Level</v>
      </c>
      <c r="F210" s="2" t="str">
        <f>[1]Sheet1!Q204</f>
        <v>160000 $</v>
      </c>
      <c r="G210" s="3">
        <f>[1]Sheet1!I204</f>
        <v>160000</v>
      </c>
      <c r="H210" s="2" t="str">
        <f>[1]Sheet1!N204</f>
        <v>Full-Time</v>
      </c>
      <c r="I210" s="2" t="str">
        <f>[1]Sheet1!O204</f>
        <v>Large</v>
      </c>
      <c r="J210" s="2" t="str">
        <f>[1]Sheet1!R204</f>
        <v>United States</v>
      </c>
      <c r="K210" s="2" t="str">
        <f>[1]Sheet1!S204</f>
        <v>United States</v>
      </c>
      <c r="L210" s="1"/>
    </row>
    <row r="211" spans="2:12">
      <c r="B211">
        <f>[1]Sheet1!B205</f>
        <v>202</v>
      </c>
      <c r="C211" s="2">
        <f>[1]Sheet1!C205</f>
        <v>2021</v>
      </c>
      <c r="D211" s="2" t="str">
        <f>[1]Sheet1!F205</f>
        <v>Data Scientist</v>
      </c>
      <c r="E211" s="2" t="str">
        <f>[1]Sheet1!Y204</f>
        <v>Mid-Level</v>
      </c>
      <c r="F211" s="2" t="str">
        <f>[1]Sheet1!Q205</f>
        <v>69600 R$</v>
      </c>
      <c r="G211" s="3">
        <f>[1]Sheet1!I205</f>
        <v>12901</v>
      </c>
      <c r="H211" s="2" t="str">
        <f>[1]Sheet1!N205</f>
        <v>Full-Time</v>
      </c>
      <c r="I211" s="2" t="str">
        <f>[1]Sheet1!O205</f>
        <v>Small</v>
      </c>
      <c r="J211" s="2" t="str">
        <f>[1]Sheet1!R205</f>
        <v>Brazil</v>
      </c>
      <c r="K211" s="2" t="str">
        <f>[1]Sheet1!S205</f>
        <v>Brazil</v>
      </c>
      <c r="L211" s="1"/>
    </row>
    <row r="212" spans="2:12">
      <c r="B212">
        <f>[1]Sheet1!B206</f>
        <v>203</v>
      </c>
      <c r="C212" s="2">
        <f>[1]Sheet1!C206</f>
        <v>2021</v>
      </c>
      <c r="D212" s="2" t="str">
        <f>[1]Sheet1!F206</f>
        <v>Machine Learning Engineer</v>
      </c>
      <c r="E212" s="2" t="str">
        <f>[1]Sheet1!Y205</f>
        <v>Senior-Level</v>
      </c>
      <c r="F212" s="2" t="str">
        <f>[1]Sheet1!Q206</f>
        <v>200000 $</v>
      </c>
      <c r="G212" s="3">
        <f>[1]Sheet1!I206</f>
        <v>200000</v>
      </c>
      <c r="H212" s="2" t="str">
        <f>[1]Sheet1!N206</f>
        <v>Full-Time</v>
      </c>
      <c r="I212" s="2" t="str">
        <f>[1]Sheet1!O206</f>
        <v>Large</v>
      </c>
      <c r="J212" s="2" t="str">
        <f>[1]Sheet1!R206</f>
        <v>United States</v>
      </c>
      <c r="K212" s="2" t="str">
        <f>[1]Sheet1!S206</f>
        <v>United States</v>
      </c>
      <c r="L212" s="1"/>
    </row>
    <row r="213" spans="2:12">
      <c r="B213">
        <f>[1]Sheet1!B207</f>
        <v>204</v>
      </c>
      <c r="C213" s="2">
        <f>[1]Sheet1!C207</f>
        <v>2021</v>
      </c>
      <c r="D213" s="2" t="str">
        <f>[1]Sheet1!F207</f>
        <v>Data Engineer</v>
      </c>
      <c r="E213" s="2" t="str">
        <f>[1]Sheet1!Y206</f>
        <v>Senior-Level</v>
      </c>
      <c r="F213" s="2" t="str">
        <f>[1]Sheet1!Q207</f>
        <v>165000 $</v>
      </c>
      <c r="G213" s="3">
        <f>[1]Sheet1!I207</f>
        <v>165000</v>
      </c>
      <c r="H213" s="2" t="str">
        <f>[1]Sheet1!N207</f>
        <v>Full-Time</v>
      </c>
      <c r="I213" s="2" t="str">
        <f>[1]Sheet1!O207</f>
        <v>Contract</v>
      </c>
      <c r="J213" s="2" t="str">
        <f>[1]Sheet1!R207</f>
        <v>United States</v>
      </c>
      <c r="K213" s="2" t="str">
        <f>[1]Sheet1!S207</f>
        <v>United States</v>
      </c>
      <c r="L213" s="1"/>
    </row>
    <row r="214" spans="2:12">
      <c r="B214">
        <f>[1]Sheet1!B208</f>
        <v>205</v>
      </c>
      <c r="C214" s="2">
        <f>[1]Sheet1!C208</f>
        <v>2021</v>
      </c>
      <c r="D214" s="2" t="str">
        <f>[1]Sheet1!F208</f>
        <v>Data Engineer</v>
      </c>
      <c r="E214" s="2" t="str">
        <f>[1]Sheet1!Y207</f>
        <v>Mid-Level</v>
      </c>
      <c r="F214" s="2" t="str">
        <f>[1]Sheet1!Q208</f>
        <v>20000 $</v>
      </c>
      <c r="G214" s="3">
        <f>[1]Sheet1!I208</f>
        <v>20000</v>
      </c>
      <c r="H214" s="2" t="str">
        <f>[1]Sheet1!N208</f>
        <v>Freelance</v>
      </c>
      <c r="I214" s="2" t="str">
        <f>[1]Sheet1!O208</f>
        <v>Large</v>
      </c>
      <c r="J214" s="2" t="str">
        <f>[1]Sheet1!R208</f>
        <v>Italy</v>
      </c>
      <c r="K214" s="2" t="str">
        <f>[1]Sheet1!S208</f>
        <v>United States</v>
      </c>
      <c r="L214" s="1"/>
    </row>
    <row r="215" spans="2:12">
      <c r="B215">
        <f>[1]Sheet1!B209</f>
        <v>206</v>
      </c>
      <c r="C215" s="2">
        <f>[1]Sheet1!C209</f>
        <v>2021</v>
      </c>
      <c r="D215" s="2" t="str">
        <f>[1]Sheet1!F209</f>
        <v>Machine Learning Engineer</v>
      </c>
      <c r="E215" s="2" t="str">
        <f>[1]Sheet1!Y208</f>
        <v>Mid-Level</v>
      </c>
      <c r="F215" s="2" t="str">
        <f>[1]Sheet1!Q209</f>
        <v>21000 €</v>
      </c>
      <c r="G215" s="3">
        <f>[1]Sheet1!I209</f>
        <v>24823</v>
      </c>
      <c r="H215" s="2" t="str">
        <f>[1]Sheet1!N209</f>
        <v>Full-Time</v>
      </c>
      <c r="I215" s="2" t="str">
        <f>[1]Sheet1!O209</f>
        <v>Large</v>
      </c>
      <c r="J215" s="2" t="str">
        <f>[1]Sheet1!R209</f>
        <v>Slovenia</v>
      </c>
      <c r="K215" s="2" t="str">
        <f>[1]Sheet1!S209</f>
        <v>Slovenia</v>
      </c>
      <c r="L215" s="1"/>
    </row>
    <row r="216" spans="2:12">
      <c r="B216">
        <f>[1]Sheet1!B210</f>
        <v>207</v>
      </c>
      <c r="C216" s="2">
        <f>[1]Sheet1!C210</f>
        <v>2021</v>
      </c>
      <c r="D216" s="2" t="str">
        <f>[1]Sheet1!F210</f>
        <v>Research Scientist</v>
      </c>
      <c r="E216" s="2" t="str">
        <f>[1]Sheet1!Y209</f>
        <v>Mid-Level</v>
      </c>
      <c r="F216" s="2" t="str">
        <f>[1]Sheet1!Q210</f>
        <v>48000 €</v>
      </c>
      <c r="G216" s="3">
        <f>[1]Sheet1!I210</f>
        <v>56738</v>
      </c>
      <c r="H216" s="2" t="str">
        <f>[1]Sheet1!N210</f>
        <v>Full-Time</v>
      </c>
      <c r="I216" s="2" t="str">
        <f>[1]Sheet1!O210</f>
        <v>Small</v>
      </c>
      <c r="J216" s="2" t="str">
        <f>[1]Sheet1!R210</f>
        <v>France</v>
      </c>
      <c r="K216" s="2" t="str">
        <f>[1]Sheet1!S210</f>
        <v>France</v>
      </c>
      <c r="L216" s="1"/>
    </row>
    <row r="217" spans="2:12">
      <c r="B217">
        <f>[1]Sheet1!B211</f>
        <v>208</v>
      </c>
      <c r="C217" s="2">
        <f>[1]Sheet1!C211</f>
        <v>2021</v>
      </c>
      <c r="D217" s="2" t="str">
        <f>[1]Sheet1!F211</f>
        <v>Data Engineer</v>
      </c>
      <c r="E217" s="2" t="str">
        <f>[1]Sheet1!Y210</f>
        <v>Mid-Level</v>
      </c>
      <c r="F217" s="2" t="str">
        <f>[1]Sheet1!Q211</f>
        <v>48000 £</v>
      </c>
      <c r="G217" s="3">
        <f>[1]Sheet1!I211</f>
        <v>66022</v>
      </c>
      <c r="H217" s="2" t="str">
        <f>[1]Sheet1!N211</f>
        <v>Full-Time</v>
      </c>
      <c r="I217" s="2" t="str">
        <f>[1]Sheet1!O211</f>
        <v>Small</v>
      </c>
      <c r="J217" s="2" t="str">
        <f>[1]Sheet1!R211</f>
        <v>Hong Kong</v>
      </c>
      <c r="K217" s="2" t="str">
        <f>[1]Sheet1!S211</f>
        <v>United Kingdom</v>
      </c>
      <c r="L217" s="1"/>
    </row>
    <row r="218" spans="2:12">
      <c r="B218">
        <f>[1]Sheet1!B212</f>
        <v>209</v>
      </c>
      <c r="C218" s="2">
        <f>[1]Sheet1!C212</f>
        <v>2021</v>
      </c>
      <c r="D218" s="2" t="str">
        <f>[1]Sheet1!F212</f>
        <v>Big Data Engineer</v>
      </c>
      <c r="E218" s="2" t="str">
        <f>[1]Sheet1!Y211</f>
        <v>Entry-Level</v>
      </c>
      <c r="F218" s="2" t="str">
        <f>[1]Sheet1!Q212</f>
        <v>435000 ₹</v>
      </c>
      <c r="G218" s="3">
        <f>[1]Sheet1!I212</f>
        <v>5882</v>
      </c>
      <c r="H218" s="2" t="str">
        <f>[1]Sheet1!N212</f>
        <v>Full-Time</v>
      </c>
      <c r="I218" s="2" t="str">
        <f>[1]Sheet1!O212</f>
        <v>Large</v>
      </c>
      <c r="J218" s="2" t="str">
        <f>[1]Sheet1!R212</f>
        <v>India</v>
      </c>
      <c r="K218" s="2" t="str">
        <f>[1]Sheet1!S212</f>
        <v>Switzerland</v>
      </c>
      <c r="L218" s="1"/>
    </row>
    <row r="219" spans="2:12">
      <c r="B219">
        <f>[1]Sheet1!B213</f>
        <v>210</v>
      </c>
      <c r="C219" s="2">
        <f>[1]Sheet1!C213</f>
        <v>2021</v>
      </c>
      <c r="D219" s="2" t="str">
        <f>[1]Sheet1!F213</f>
        <v>Machine Learning Engineer</v>
      </c>
      <c r="E219" s="2" t="str">
        <f>[1]Sheet1!Y212</f>
        <v>Entry-Level</v>
      </c>
      <c r="F219" s="2" t="str">
        <f>[1]Sheet1!Q213</f>
        <v>21000 €</v>
      </c>
      <c r="G219" s="3">
        <f>[1]Sheet1!I213</f>
        <v>24823</v>
      </c>
      <c r="H219" s="2" t="str">
        <f>[1]Sheet1!N213</f>
        <v>Full-Time</v>
      </c>
      <c r="I219" s="2" t="str">
        <f>[1]Sheet1!O213</f>
        <v>Contract</v>
      </c>
      <c r="J219" s="2" t="str">
        <f>[1]Sheet1!R213</f>
        <v>Germany</v>
      </c>
      <c r="K219" s="2" t="str">
        <f>[1]Sheet1!S213</f>
        <v>Germany</v>
      </c>
      <c r="L219" s="1"/>
    </row>
    <row r="220" spans="2:12">
      <c r="B220">
        <f>[1]Sheet1!B214</f>
        <v>211</v>
      </c>
      <c r="C220" s="2">
        <f>[1]Sheet1!C214</f>
        <v>2021</v>
      </c>
      <c r="D220" s="2" t="str">
        <f>[1]Sheet1!F214</f>
        <v>Principal Data Engineer</v>
      </c>
      <c r="E220" s="2" t="str">
        <f>[1]Sheet1!Y213</f>
        <v>Senior-Level</v>
      </c>
      <c r="F220" s="2" t="str">
        <f>[1]Sheet1!Q214</f>
        <v>185000 $</v>
      </c>
      <c r="G220" s="3">
        <f>[1]Sheet1!I214</f>
        <v>185000</v>
      </c>
      <c r="H220" s="2" t="str">
        <f>[1]Sheet1!N214</f>
        <v>Full-Time</v>
      </c>
      <c r="I220" s="2" t="str">
        <f>[1]Sheet1!O214</f>
        <v>Large</v>
      </c>
      <c r="J220" s="2" t="str">
        <f>[1]Sheet1!R214</f>
        <v>United States</v>
      </c>
      <c r="K220" s="2" t="str">
        <f>[1]Sheet1!S214</f>
        <v>United States</v>
      </c>
      <c r="L220" s="1"/>
    </row>
    <row r="221" spans="2:12">
      <c r="B221">
        <f>[1]Sheet1!B215</f>
        <v>212</v>
      </c>
      <c r="C221" s="2">
        <f>[1]Sheet1!C215</f>
        <v>2021</v>
      </c>
      <c r="D221" s="2" t="str">
        <f>[1]Sheet1!F215</f>
        <v>Computer Vision Engineer</v>
      </c>
      <c r="E221" s="2" t="str">
        <f>[1]Sheet1!Y214</f>
        <v>Entry-Level</v>
      </c>
      <c r="F221" s="2" t="str">
        <f>[1]Sheet1!Q215</f>
        <v>180000 kr</v>
      </c>
      <c r="G221" s="3">
        <f>[1]Sheet1!I215</f>
        <v>28609</v>
      </c>
      <c r="H221" s="2" t="str">
        <f>[1]Sheet1!N215</f>
        <v>Part-Time</v>
      </c>
      <c r="I221" s="2" t="str">
        <f>[1]Sheet1!O215</f>
        <v>Small</v>
      </c>
      <c r="J221" s="2" t="str">
        <f>[1]Sheet1!R215</f>
        <v>Denmark</v>
      </c>
      <c r="K221" s="2" t="str">
        <f>[1]Sheet1!S215</f>
        <v>Denmark</v>
      </c>
      <c r="L221" s="1"/>
    </row>
    <row r="222" spans="2:12">
      <c r="B222">
        <f>[1]Sheet1!B216</f>
        <v>213</v>
      </c>
      <c r="C222" s="2">
        <f>[1]Sheet1!C216</f>
        <v>2021</v>
      </c>
      <c r="D222" s="2" t="str">
        <f>[1]Sheet1!F216</f>
        <v>Machine Learning Engineer</v>
      </c>
      <c r="E222" s="2" t="str">
        <f>[1]Sheet1!Y215</f>
        <v>Mid-Level</v>
      </c>
      <c r="F222" s="2" t="str">
        <f>[1]Sheet1!Q216</f>
        <v>75000 €</v>
      </c>
      <c r="G222" s="3">
        <f>[1]Sheet1!I216</f>
        <v>88654</v>
      </c>
      <c r="H222" s="2" t="str">
        <f>[1]Sheet1!N216</f>
        <v>Full-Time</v>
      </c>
      <c r="I222" s="2" t="str">
        <f>[1]Sheet1!O216</f>
        <v>Contract</v>
      </c>
      <c r="J222" s="2" t="str">
        <f>[1]Sheet1!R216</f>
        <v>Belgium</v>
      </c>
      <c r="K222" s="2" t="str">
        <f>[1]Sheet1!S216</f>
        <v>Belgium</v>
      </c>
      <c r="L222" s="1"/>
    </row>
    <row r="223" spans="2:12">
      <c r="B223">
        <f>[1]Sheet1!B217</f>
        <v>214</v>
      </c>
      <c r="C223" s="2">
        <f>[1]Sheet1!C217</f>
        <v>2021</v>
      </c>
      <c r="D223" s="2" t="str">
        <f>[1]Sheet1!F217</f>
        <v>Data Analytics Manager</v>
      </c>
      <c r="E223" s="2" t="str">
        <f>[1]Sheet1!Y216</f>
        <v>Senior-Level</v>
      </c>
      <c r="F223" s="2" t="str">
        <f>[1]Sheet1!Q217</f>
        <v>140000 $</v>
      </c>
      <c r="G223" s="3">
        <f>[1]Sheet1!I217</f>
        <v>140000</v>
      </c>
      <c r="H223" s="2" t="str">
        <f>[1]Sheet1!N217</f>
        <v>Full-Time</v>
      </c>
      <c r="I223" s="2" t="str">
        <f>[1]Sheet1!O217</f>
        <v>Large</v>
      </c>
      <c r="J223" s="2" t="str">
        <f>[1]Sheet1!R217</f>
        <v>United States</v>
      </c>
      <c r="K223" s="2" t="str">
        <f>[1]Sheet1!S217</f>
        <v>United States</v>
      </c>
      <c r="L223" s="1"/>
    </row>
    <row r="224" spans="2:12">
      <c r="B224">
        <f>[1]Sheet1!B218</f>
        <v>215</v>
      </c>
      <c r="C224" s="2">
        <f>[1]Sheet1!C218</f>
        <v>2021</v>
      </c>
      <c r="D224" s="2" t="str">
        <f>[1]Sheet1!F218</f>
        <v>Machine Learning Engineer</v>
      </c>
      <c r="E224" s="2" t="str">
        <f>[1]Sheet1!Y217</f>
        <v>Mid-Level</v>
      </c>
      <c r="F224" s="2" t="str">
        <f>[1]Sheet1!Q218</f>
        <v>180000 zł</v>
      </c>
      <c r="G224" s="3">
        <f>[1]Sheet1!I218</f>
        <v>46597</v>
      </c>
      <c r="H224" s="2" t="str">
        <f>[1]Sheet1!N218</f>
        <v>Full-Time</v>
      </c>
      <c r="I224" s="2" t="str">
        <f>[1]Sheet1!O218</f>
        <v>Large</v>
      </c>
      <c r="J224" s="2" t="str">
        <f>[1]Sheet1!R218</f>
        <v>Poland</v>
      </c>
      <c r="K224" s="2" t="str">
        <f>[1]Sheet1!S218</f>
        <v>Poland</v>
      </c>
      <c r="L224" s="1"/>
    </row>
    <row r="225" spans="2:12">
      <c r="B225">
        <f>[1]Sheet1!B219</f>
        <v>216</v>
      </c>
      <c r="C225" s="2">
        <f>[1]Sheet1!C219</f>
        <v>2021</v>
      </c>
      <c r="D225" s="2" t="str">
        <f>[1]Sheet1!F219</f>
        <v>Data Scientist</v>
      </c>
      <c r="E225" s="2" t="str">
        <f>[1]Sheet1!Y218</f>
        <v>Mid-Level</v>
      </c>
      <c r="F225" s="2" t="str">
        <f>[1]Sheet1!Q219</f>
        <v>85000 £</v>
      </c>
      <c r="G225" s="3">
        <f>[1]Sheet1!I219</f>
        <v>116914</v>
      </c>
      <c r="H225" s="2" t="str">
        <f>[1]Sheet1!N219</f>
        <v>Full-Time</v>
      </c>
      <c r="I225" s="2" t="str">
        <f>[1]Sheet1!O219</f>
        <v>Large</v>
      </c>
      <c r="J225" s="2" t="str">
        <f>[1]Sheet1!R219</f>
        <v>United Kingdom</v>
      </c>
      <c r="K225" s="2" t="str">
        <f>[1]Sheet1!S219</f>
        <v>United Kingdom</v>
      </c>
      <c r="L225" s="1"/>
    </row>
    <row r="226" spans="2:12">
      <c r="B226">
        <f>[1]Sheet1!B220</f>
        <v>217</v>
      </c>
      <c r="C226" s="2">
        <f>[1]Sheet1!C220</f>
        <v>2021</v>
      </c>
      <c r="D226" s="2" t="str">
        <f>[1]Sheet1!F220</f>
        <v>Data Scientist</v>
      </c>
      <c r="E226" s="2" t="str">
        <f>[1]Sheet1!Y219</f>
        <v>Mid-Level</v>
      </c>
      <c r="F226" s="2" t="str">
        <f>[1]Sheet1!Q220</f>
        <v>2500000 ₹</v>
      </c>
      <c r="G226" s="3">
        <f>[1]Sheet1!I220</f>
        <v>33808</v>
      </c>
      <c r="H226" s="2" t="str">
        <f>[1]Sheet1!N220</f>
        <v>Full-Time</v>
      </c>
      <c r="I226" s="2" t="str">
        <f>[1]Sheet1!O220</f>
        <v>Contract</v>
      </c>
      <c r="J226" s="2" t="str">
        <f>[1]Sheet1!R220</f>
        <v>India</v>
      </c>
      <c r="K226" s="2" t="str">
        <f>[1]Sheet1!S220</f>
        <v>India</v>
      </c>
      <c r="L226" s="1"/>
    </row>
    <row r="227" spans="2:12">
      <c r="B227">
        <f>[1]Sheet1!B221</f>
        <v>218</v>
      </c>
      <c r="C227" s="2">
        <f>[1]Sheet1!C221</f>
        <v>2021</v>
      </c>
      <c r="D227" s="2" t="str">
        <f>[1]Sheet1!F221</f>
        <v>Data Scientist</v>
      </c>
      <c r="E227" s="2" t="str">
        <f>[1]Sheet1!Y220</f>
        <v>Mid-Level</v>
      </c>
      <c r="F227" s="2" t="str">
        <f>[1]Sheet1!Q221</f>
        <v>40900 £</v>
      </c>
      <c r="G227" s="3">
        <f>[1]Sheet1!I221</f>
        <v>56256</v>
      </c>
      <c r="H227" s="2" t="str">
        <f>[1]Sheet1!N221</f>
        <v>Full-Time</v>
      </c>
      <c r="I227" s="2" t="str">
        <f>[1]Sheet1!O221</f>
        <v>Large</v>
      </c>
      <c r="J227" s="2" t="str">
        <f>[1]Sheet1!R221</f>
        <v>United Kingdom</v>
      </c>
      <c r="K227" s="2" t="str">
        <f>[1]Sheet1!S221</f>
        <v>United Kingdom</v>
      </c>
      <c r="L227" s="1"/>
    </row>
    <row r="228" spans="2:12">
      <c r="B228">
        <f>[1]Sheet1!B222</f>
        <v>219</v>
      </c>
      <c r="C228" s="2">
        <f>[1]Sheet1!C222</f>
        <v>2021</v>
      </c>
      <c r="D228" s="2" t="str">
        <f>[1]Sheet1!F222</f>
        <v>Machine Learning Scientist</v>
      </c>
      <c r="E228" s="2" t="str">
        <f>[1]Sheet1!Y221</f>
        <v>Senior-Level</v>
      </c>
      <c r="F228" s="2" t="str">
        <f>[1]Sheet1!Q222</f>
        <v>225000 $</v>
      </c>
      <c r="G228" s="3">
        <f>[1]Sheet1!I222</f>
        <v>225000</v>
      </c>
      <c r="H228" s="2" t="str">
        <f>[1]Sheet1!N222</f>
        <v>Full-Time</v>
      </c>
      <c r="I228" s="2" t="str">
        <f>[1]Sheet1!O222</f>
        <v>Large</v>
      </c>
      <c r="J228" s="2" t="str">
        <f>[1]Sheet1!R222</f>
        <v>United States</v>
      </c>
      <c r="K228" s="2" t="str">
        <f>[1]Sheet1!S222</f>
        <v>Canada</v>
      </c>
      <c r="L228" s="1"/>
    </row>
    <row r="229" spans="2:12">
      <c r="B229">
        <f>[1]Sheet1!B223</f>
        <v>220</v>
      </c>
      <c r="C229" s="2">
        <f>[1]Sheet1!C223</f>
        <v>2021</v>
      </c>
      <c r="D229" s="2" t="str">
        <f>[1]Sheet1!F223</f>
        <v>Principal Data Scientist</v>
      </c>
      <c r="E229" s="2" t="str">
        <f>[1]Sheet1!Y222</f>
        <v>Executive</v>
      </c>
      <c r="F229" s="2" t="str">
        <f>[1]Sheet1!Q223</f>
        <v>416000 $</v>
      </c>
      <c r="G229" s="3">
        <f>[1]Sheet1!I223</f>
        <v>416000</v>
      </c>
      <c r="H229" s="2" t="str">
        <f>[1]Sheet1!N223</f>
        <v>Contract</v>
      </c>
      <c r="I229" s="2" t="str">
        <f>[1]Sheet1!O223</f>
        <v>Small</v>
      </c>
      <c r="J229" s="2" t="str">
        <f>[1]Sheet1!R223</f>
        <v>United States</v>
      </c>
      <c r="K229" s="2" t="str">
        <f>[1]Sheet1!S223</f>
        <v>United States</v>
      </c>
      <c r="L229" s="1"/>
    </row>
    <row r="230" spans="2:12">
      <c r="B230">
        <f>[1]Sheet1!B224</f>
        <v>221</v>
      </c>
      <c r="C230" s="2">
        <f>[1]Sheet1!C224</f>
        <v>2021</v>
      </c>
      <c r="D230" s="2" t="str">
        <f>[1]Sheet1!F224</f>
        <v>Data Scientist</v>
      </c>
      <c r="E230" s="2" t="str">
        <f>[1]Sheet1!Y223</f>
        <v>Senior-Level</v>
      </c>
      <c r="F230" s="2" t="str">
        <f>[1]Sheet1!Q224</f>
        <v>110000 C$</v>
      </c>
      <c r="G230" s="3">
        <f>[1]Sheet1!I224</f>
        <v>87738</v>
      </c>
      <c r="H230" s="2" t="str">
        <f>[1]Sheet1!N224</f>
        <v>Full-Time</v>
      </c>
      <c r="I230" s="2" t="str">
        <f>[1]Sheet1!O224</f>
        <v>Small</v>
      </c>
      <c r="J230" s="2" t="str">
        <f>[1]Sheet1!R224</f>
        <v>Canada</v>
      </c>
      <c r="K230" s="2" t="str">
        <f>[1]Sheet1!S224</f>
        <v>Canada</v>
      </c>
      <c r="L230" s="1"/>
    </row>
    <row r="231" spans="2:12">
      <c r="B231">
        <f>[1]Sheet1!B225</f>
        <v>222</v>
      </c>
      <c r="C231" s="2">
        <f>[1]Sheet1!C225</f>
        <v>2021</v>
      </c>
      <c r="D231" s="2" t="str">
        <f>[1]Sheet1!F225</f>
        <v>Data Scientist</v>
      </c>
      <c r="E231" s="2" t="str">
        <f>[1]Sheet1!Y224</f>
        <v>Mid-Level</v>
      </c>
      <c r="F231" s="2" t="str">
        <f>[1]Sheet1!Q225</f>
        <v>75000 €</v>
      </c>
      <c r="G231" s="3">
        <f>[1]Sheet1!I225</f>
        <v>88654</v>
      </c>
      <c r="H231" s="2" t="str">
        <f>[1]Sheet1!N225</f>
        <v>Full-Time</v>
      </c>
      <c r="I231" s="2" t="str">
        <f>[1]Sheet1!O225</f>
        <v>Large</v>
      </c>
      <c r="J231" s="2" t="str">
        <f>[1]Sheet1!R225</f>
        <v>Germany</v>
      </c>
      <c r="K231" s="2" t="str">
        <f>[1]Sheet1!S225</f>
        <v>Germany</v>
      </c>
      <c r="L231" s="1"/>
    </row>
    <row r="232" spans="2:12">
      <c r="B232">
        <f>[1]Sheet1!B226</f>
        <v>223</v>
      </c>
      <c r="C232" s="2">
        <f>[1]Sheet1!C226</f>
        <v>2021</v>
      </c>
      <c r="D232" s="2" t="str">
        <f>[1]Sheet1!F226</f>
        <v>Data Scientist</v>
      </c>
      <c r="E232" s="2" t="str">
        <f>[1]Sheet1!Y225</f>
        <v>Senior-Level</v>
      </c>
      <c r="F232" s="2" t="str">
        <f>[1]Sheet1!Q226</f>
        <v>135000 $</v>
      </c>
      <c r="G232" s="3">
        <f>[1]Sheet1!I226</f>
        <v>135000</v>
      </c>
      <c r="H232" s="2" t="str">
        <f>[1]Sheet1!N226</f>
        <v>Full-Time</v>
      </c>
      <c r="I232" s="2" t="str">
        <f>[1]Sheet1!O226</f>
        <v>Large</v>
      </c>
      <c r="J232" s="2" t="str">
        <f>[1]Sheet1!R226</f>
        <v>United States</v>
      </c>
      <c r="K232" s="2" t="str">
        <f>[1]Sheet1!S226</f>
        <v>United States</v>
      </c>
      <c r="L232" s="1"/>
    </row>
    <row r="233" spans="2:12">
      <c r="B233">
        <f>[1]Sheet1!B227</f>
        <v>224</v>
      </c>
      <c r="C233" s="2">
        <f>[1]Sheet1!C227</f>
        <v>2021</v>
      </c>
      <c r="D233" s="2" t="str">
        <f>[1]Sheet1!F227</f>
        <v>Data Analyst</v>
      </c>
      <c r="E233" s="2" t="str">
        <f>[1]Sheet1!Y226</f>
        <v>Senior-Level</v>
      </c>
      <c r="F233" s="2" t="str">
        <f>[1]Sheet1!Q227</f>
        <v>90000 C$</v>
      </c>
      <c r="G233" s="3">
        <f>[1]Sheet1!I227</f>
        <v>71786</v>
      </c>
      <c r="H233" s="2" t="str">
        <f>[1]Sheet1!N227</f>
        <v>Full-Time</v>
      </c>
      <c r="I233" s="2" t="str">
        <f>[1]Sheet1!O227</f>
        <v>Contract</v>
      </c>
      <c r="J233" s="2" t="str">
        <f>[1]Sheet1!R227</f>
        <v>Canada</v>
      </c>
      <c r="K233" s="2" t="str">
        <f>[1]Sheet1!S227</f>
        <v>Canada</v>
      </c>
      <c r="L233" s="1"/>
    </row>
    <row r="234" spans="2:12">
      <c r="B234">
        <f>[1]Sheet1!B228</f>
        <v>225</v>
      </c>
      <c r="C234" s="2">
        <f>[1]Sheet1!C228</f>
        <v>2021</v>
      </c>
      <c r="D234" s="2" t="str">
        <f>[1]Sheet1!F228</f>
        <v>Big Data Engineer</v>
      </c>
      <c r="E234" s="2" t="str">
        <f>[1]Sheet1!Y227</f>
        <v>Entry-Level</v>
      </c>
      <c r="F234" s="2" t="str">
        <f>[1]Sheet1!Q228</f>
        <v>1200000 ₹</v>
      </c>
      <c r="G234" s="3">
        <f>[1]Sheet1!I228</f>
        <v>16228</v>
      </c>
      <c r="H234" s="2" t="str">
        <f>[1]Sheet1!N228</f>
        <v>Full-Time</v>
      </c>
      <c r="I234" s="2" t="str">
        <f>[1]Sheet1!O228</f>
        <v>Large</v>
      </c>
      <c r="J234" s="2" t="str">
        <f>[1]Sheet1!R228</f>
        <v>India</v>
      </c>
      <c r="K234" s="2" t="str">
        <f>[1]Sheet1!S228</f>
        <v>India</v>
      </c>
      <c r="L234" s="1"/>
    </row>
    <row r="235" spans="2:12">
      <c r="B235">
        <f>[1]Sheet1!B229</f>
        <v>226</v>
      </c>
      <c r="C235" s="2">
        <f>[1]Sheet1!C229</f>
        <v>2021</v>
      </c>
      <c r="D235" s="2" t="str">
        <f>[1]Sheet1!F229</f>
        <v>ML Engineer</v>
      </c>
      <c r="E235" s="2" t="str">
        <f>[1]Sheet1!Y228</f>
        <v>Senior-Level</v>
      </c>
      <c r="F235" s="2" t="str">
        <f>[1]Sheet1!Q229</f>
        <v>256000 $</v>
      </c>
      <c r="G235" s="3">
        <f>[1]Sheet1!I229</f>
        <v>256000</v>
      </c>
      <c r="H235" s="2" t="str">
        <f>[1]Sheet1!N229</f>
        <v>Full-Time</v>
      </c>
      <c r="I235" s="2" t="str">
        <f>[1]Sheet1!O229</f>
        <v>Small</v>
      </c>
      <c r="J235" s="2" t="str">
        <f>[1]Sheet1!R229</f>
        <v>United States</v>
      </c>
      <c r="K235" s="2" t="str">
        <f>[1]Sheet1!S229</f>
        <v>United States</v>
      </c>
      <c r="L235" s="1"/>
    </row>
    <row r="236" spans="2:12">
      <c r="B236">
        <f>[1]Sheet1!B230</f>
        <v>227</v>
      </c>
      <c r="C236" s="2">
        <f>[1]Sheet1!C230</f>
        <v>2021</v>
      </c>
      <c r="D236" s="2" t="str">
        <f>[1]Sheet1!F230</f>
        <v>Director of Data Engineering</v>
      </c>
      <c r="E236" s="2" t="str">
        <f>[1]Sheet1!Y229</f>
        <v>Senior-Level</v>
      </c>
      <c r="F236" s="2" t="str">
        <f>[1]Sheet1!Q230</f>
        <v>200000 $</v>
      </c>
      <c r="G236" s="3">
        <f>[1]Sheet1!I230</f>
        <v>200000</v>
      </c>
      <c r="H236" s="2" t="str">
        <f>[1]Sheet1!N230</f>
        <v>Full-Time</v>
      </c>
      <c r="I236" s="2" t="str">
        <f>[1]Sheet1!O230</f>
        <v>Large</v>
      </c>
      <c r="J236" s="2" t="str">
        <f>[1]Sheet1!R230</f>
        <v>United States</v>
      </c>
      <c r="K236" s="2" t="str">
        <f>[1]Sheet1!S230</f>
        <v>United States</v>
      </c>
      <c r="L236" s="1"/>
    </row>
    <row r="237" spans="2:12">
      <c r="B237">
        <f>[1]Sheet1!B231</f>
        <v>228</v>
      </c>
      <c r="C237" s="2">
        <f>[1]Sheet1!C231</f>
        <v>2021</v>
      </c>
      <c r="D237" s="2" t="str">
        <f>[1]Sheet1!F231</f>
        <v>Data Analyst</v>
      </c>
      <c r="E237" s="2" t="str">
        <f>[1]Sheet1!Y230</f>
        <v>Senior-Level</v>
      </c>
      <c r="F237" s="2" t="str">
        <f>[1]Sheet1!Q231</f>
        <v>200000 $</v>
      </c>
      <c r="G237" s="3">
        <f>[1]Sheet1!I231</f>
        <v>200000</v>
      </c>
      <c r="H237" s="2" t="str">
        <f>[1]Sheet1!N231</f>
        <v>Full-Time</v>
      </c>
      <c r="I237" s="2" t="str">
        <f>[1]Sheet1!O231</f>
        <v>Large</v>
      </c>
      <c r="J237" s="2" t="str">
        <f>[1]Sheet1!R231</f>
        <v>United States</v>
      </c>
      <c r="K237" s="2" t="str">
        <f>[1]Sheet1!S231</f>
        <v>United States</v>
      </c>
      <c r="L237" s="1"/>
    </row>
    <row r="238" spans="2:12">
      <c r="B238">
        <f>[1]Sheet1!B232</f>
        <v>229</v>
      </c>
      <c r="C238" s="2">
        <f>[1]Sheet1!C232</f>
        <v>2021</v>
      </c>
      <c r="D238" s="2" t="str">
        <f>[1]Sheet1!F232</f>
        <v>Data Architect</v>
      </c>
      <c r="E238" s="2" t="str">
        <f>[1]Sheet1!Y231</f>
        <v>Mid-Level</v>
      </c>
      <c r="F238" s="2" t="str">
        <f>[1]Sheet1!Q232</f>
        <v>180000 $</v>
      </c>
      <c r="G238" s="3">
        <f>[1]Sheet1!I232</f>
        <v>180000</v>
      </c>
      <c r="H238" s="2" t="str">
        <f>[1]Sheet1!N232</f>
        <v>Full-Time</v>
      </c>
      <c r="I238" s="2" t="str">
        <f>[1]Sheet1!O232</f>
        <v>Large</v>
      </c>
      <c r="J238" s="2" t="str">
        <f>[1]Sheet1!R232</f>
        <v>United States</v>
      </c>
      <c r="K238" s="2" t="str">
        <f>[1]Sheet1!S232</f>
        <v>United States</v>
      </c>
      <c r="L238" s="1"/>
    </row>
    <row r="239" spans="2:12">
      <c r="B239">
        <f>[1]Sheet1!B233</f>
        <v>230</v>
      </c>
      <c r="C239" s="2">
        <f>[1]Sheet1!C233</f>
        <v>2021</v>
      </c>
      <c r="D239" s="2" t="str">
        <f>[1]Sheet1!F233</f>
        <v>Head of Data Science</v>
      </c>
      <c r="E239" s="2" t="str">
        <f>[1]Sheet1!Y232</f>
        <v>Mid-Level</v>
      </c>
      <c r="F239" s="2" t="str">
        <f>[1]Sheet1!Q233</f>
        <v>110000 $</v>
      </c>
      <c r="G239" s="3">
        <f>[1]Sheet1!I233</f>
        <v>110000</v>
      </c>
      <c r="H239" s="2" t="str">
        <f>[1]Sheet1!N233</f>
        <v>Full-Time</v>
      </c>
      <c r="I239" s="2" t="str">
        <f>[1]Sheet1!O233</f>
        <v>Small</v>
      </c>
      <c r="J239" s="2" t="str">
        <f>[1]Sheet1!R233</f>
        <v>United States</v>
      </c>
      <c r="K239" s="2" t="str">
        <f>[1]Sheet1!S233</f>
        <v>United States</v>
      </c>
      <c r="L239" s="1"/>
    </row>
    <row r="240" spans="2:12">
      <c r="B240">
        <f>[1]Sheet1!B234</f>
        <v>231</v>
      </c>
      <c r="C240" s="2">
        <f>[1]Sheet1!C234</f>
        <v>2021</v>
      </c>
      <c r="D240" s="2" t="str">
        <f>[1]Sheet1!F234</f>
        <v>Research Scientist</v>
      </c>
      <c r="E240" s="2" t="str">
        <f>[1]Sheet1!Y233</f>
        <v>Mid-Level</v>
      </c>
      <c r="F240" s="2" t="str">
        <f>[1]Sheet1!Q234</f>
        <v>80000 C$</v>
      </c>
      <c r="G240" s="3">
        <f>[1]Sheet1!I234</f>
        <v>63810</v>
      </c>
      <c r="H240" s="2" t="str">
        <f>[1]Sheet1!N234</f>
        <v>Full-Time</v>
      </c>
      <c r="I240" s="2" t="str">
        <f>[1]Sheet1!O234</f>
        <v>Contract</v>
      </c>
      <c r="J240" s="2" t="str">
        <f>[1]Sheet1!R234</f>
        <v>Canada</v>
      </c>
      <c r="K240" s="2" t="str">
        <f>[1]Sheet1!S234</f>
        <v>Canada</v>
      </c>
      <c r="L240" s="1"/>
    </row>
    <row r="241" spans="2:12">
      <c r="B241">
        <f>[1]Sheet1!B235</f>
        <v>232</v>
      </c>
      <c r="C241" s="2">
        <f>[1]Sheet1!C235</f>
        <v>2021</v>
      </c>
      <c r="D241" s="2" t="str">
        <f>[1]Sheet1!F235</f>
        <v>Data Scientist</v>
      </c>
      <c r="E241" s="2" t="str">
        <f>[1]Sheet1!Y234</f>
        <v>Mid-Level</v>
      </c>
      <c r="F241" s="2" t="str">
        <f>[1]Sheet1!Q235</f>
        <v>39600 €</v>
      </c>
      <c r="G241" s="3">
        <f>[1]Sheet1!I235</f>
        <v>46809</v>
      </c>
      <c r="H241" s="2" t="str">
        <f>[1]Sheet1!N235</f>
        <v>Full-Time</v>
      </c>
      <c r="I241" s="2" t="str">
        <f>[1]Sheet1!O235</f>
        <v>Contract</v>
      </c>
      <c r="J241" s="2" t="str">
        <f>[1]Sheet1!R235</f>
        <v>Spain</v>
      </c>
      <c r="K241" s="2" t="str">
        <f>[1]Sheet1!S235</f>
        <v>Spain</v>
      </c>
      <c r="L241" s="1"/>
    </row>
    <row r="242" spans="2:12">
      <c r="B242">
        <f>[1]Sheet1!B236</f>
        <v>233</v>
      </c>
      <c r="C242" s="2">
        <f>[1]Sheet1!C236</f>
        <v>2021</v>
      </c>
      <c r="D242" s="2" t="str">
        <f>[1]Sheet1!F236</f>
        <v>Data Scientist</v>
      </c>
      <c r="E242" s="2" t="str">
        <f>[1]Sheet1!Y235</f>
        <v>Entry-Level</v>
      </c>
      <c r="F242" s="2" t="str">
        <f>[1]Sheet1!Q236</f>
        <v>4000 $</v>
      </c>
      <c r="G242" s="3">
        <f>[1]Sheet1!I236</f>
        <v>4000</v>
      </c>
      <c r="H242" s="2" t="str">
        <f>[1]Sheet1!N236</f>
        <v>Full-Time</v>
      </c>
      <c r="I242" s="2" t="str">
        <f>[1]Sheet1!O236</f>
        <v>Contract</v>
      </c>
      <c r="J242" s="2" t="str">
        <f>[1]Sheet1!R236</f>
        <v>Vietnam</v>
      </c>
      <c r="K242" s="2" t="str">
        <f>[1]Sheet1!S236</f>
        <v>Vietnam</v>
      </c>
      <c r="L242" s="1"/>
    </row>
    <row r="243" spans="2:12">
      <c r="B243">
        <f>[1]Sheet1!B237</f>
        <v>234</v>
      </c>
      <c r="C243" s="2">
        <f>[1]Sheet1!C237</f>
        <v>2021</v>
      </c>
      <c r="D243" s="2" t="str">
        <f>[1]Sheet1!F237</f>
        <v>Data Engineer</v>
      </c>
      <c r="E243" s="2" t="str">
        <f>[1]Sheet1!Y236</f>
        <v>Entry-Level</v>
      </c>
      <c r="F243" s="2" t="str">
        <f>[1]Sheet1!Q237</f>
        <v>1600000 ₹</v>
      </c>
      <c r="G243" s="3">
        <f>[1]Sheet1!I237</f>
        <v>21637</v>
      </c>
      <c r="H243" s="2" t="str">
        <f>[1]Sheet1!N237</f>
        <v>Full-Time</v>
      </c>
      <c r="I243" s="2" t="str">
        <f>[1]Sheet1!O237</f>
        <v>Contract</v>
      </c>
      <c r="J243" s="2" t="str">
        <f>[1]Sheet1!R237</f>
        <v>India</v>
      </c>
      <c r="K243" s="2" t="str">
        <f>[1]Sheet1!S237</f>
        <v>India</v>
      </c>
      <c r="L243" s="1"/>
    </row>
    <row r="244" spans="2:12">
      <c r="B244">
        <f>[1]Sheet1!B238</f>
        <v>235</v>
      </c>
      <c r="C244" s="2">
        <f>[1]Sheet1!C238</f>
        <v>2021</v>
      </c>
      <c r="D244" s="2" t="str">
        <f>[1]Sheet1!F238</f>
        <v>Data Scientist</v>
      </c>
      <c r="E244" s="2" t="str">
        <f>[1]Sheet1!Y237</f>
        <v>Senior-Level</v>
      </c>
      <c r="F244" s="2" t="str">
        <f>[1]Sheet1!Q238</f>
        <v>130000 C$</v>
      </c>
      <c r="G244" s="3">
        <f>[1]Sheet1!I238</f>
        <v>103691</v>
      </c>
      <c r="H244" s="2" t="str">
        <f>[1]Sheet1!N238</f>
        <v>Full-Time</v>
      </c>
      <c r="I244" s="2" t="str">
        <f>[1]Sheet1!O238</f>
        <v>Large</v>
      </c>
      <c r="J244" s="2" t="str">
        <f>[1]Sheet1!R238</f>
        <v>Canada</v>
      </c>
      <c r="K244" s="2" t="str">
        <f>[1]Sheet1!S238</f>
        <v>Canada</v>
      </c>
      <c r="L244" s="1"/>
    </row>
    <row r="245" spans="2:12">
      <c r="B245">
        <f>[1]Sheet1!B239</f>
        <v>236</v>
      </c>
      <c r="C245" s="2">
        <f>[1]Sheet1!C239</f>
        <v>2021</v>
      </c>
      <c r="D245" s="2" t="str">
        <f>[1]Sheet1!F239</f>
        <v>Data Scientist</v>
      </c>
      <c r="E245" s="2" t="str">
        <f>[1]Sheet1!Y238</f>
        <v>Senior-Level</v>
      </c>
      <c r="F245" s="2" t="str">
        <f>[1]Sheet1!Q239</f>
        <v>165000 $</v>
      </c>
      <c r="G245" s="3">
        <f>[1]Sheet1!I239</f>
        <v>165000</v>
      </c>
      <c r="H245" s="2" t="str">
        <f>[1]Sheet1!N239</f>
        <v>Full-Time</v>
      </c>
      <c r="I245" s="2" t="str">
        <f>[1]Sheet1!O239</f>
        <v>Large</v>
      </c>
      <c r="J245" s="2" t="str">
        <f>[1]Sheet1!R239</f>
        <v>United States</v>
      </c>
      <c r="K245" s="2" t="str">
        <f>[1]Sheet1!S239</f>
        <v>United States</v>
      </c>
      <c r="L245" s="1"/>
    </row>
    <row r="246" spans="2:12">
      <c r="B246">
        <f>[1]Sheet1!B240</f>
        <v>237</v>
      </c>
      <c r="C246" s="2">
        <f>[1]Sheet1!C240</f>
        <v>2021</v>
      </c>
      <c r="D246" s="2" t="str">
        <f>[1]Sheet1!F240</f>
        <v>AI Scientist</v>
      </c>
      <c r="E246" s="2" t="str">
        <f>[1]Sheet1!Y239</f>
        <v>Entry-Level</v>
      </c>
      <c r="F246" s="2" t="str">
        <f>[1]Sheet1!Q240</f>
        <v>1335000 ₹</v>
      </c>
      <c r="G246" s="3">
        <f>[1]Sheet1!I240</f>
        <v>18053</v>
      </c>
      <c r="H246" s="2" t="str">
        <f>[1]Sheet1!N240</f>
        <v>Full-Time</v>
      </c>
      <c r="I246" s="2" t="str">
        <f>[1]Sheet1!O240</f>
        <v>Small</v>
      </c>
      <c r="J246" s="2" t="str">
        <f>[1]Sheet1!R240</f>
        <v>India</v>
      </c>
      <c r="K246" s="2" t="str">
        <f>[1]Sheet1!S240</f>
        <v>American Samoa</v>
      </c>
      <c r="L246" s="1"/>
    </row>
    <row r="247" spans="2:12">
      <c r="B247">
        <f>[1]Sheet1!B241</f>
        <v>238</v>
      </c>
      <c r="C247" s="2">
        <f>[1]Sheet1!C241</f>
        <v>2021</v>
      </c>
      <c r="D247" s="2" t="str">
        <f>[1]Sheet1!F241</f>
        <v>Data Engineer</v>
      </c>
      <c r="E247" s="2" t="str">
        <f>[1]Sheet1!Y240</f>
        <v>Mid-Level</v>
      </c>
      <c r="F247" s="2" t="str">
        <f>[1]Sheet1!Q241</f>
        <v>52500 £</v>
      </c>
      <c r="G247" s="3">
        <f>[1]Sheet1!I241</f>
        <v>72212</v>
      </c>
      <c r="H247" s="2" t="str">
        <f>[1]Sheet1!N241</f>
        <v>Full-Time</v>
      </c>
      <c r="I247" s="2" t="str">
        <f>[1]Sheet1!O241</f>
        <v>Large</v>
      </c>
      <c r="J247" s="2" t="str">
        <f>[1]Sheet1!R241</f>
        <v>United Kingdom</v>
      </c>
      <c r="K247" s="2" t="str">
        <f>[1]Sheet1!S241</f>
        <v>United Kingdom</v>
      </c>
      <c r="L247" s="1"/>
    </row>
    <row r="248" spans="2:12">
      <c r="B248">
        <f>[1]Sheet1!B242</f>
        <v>239</v>
      </c>
      <c r="C248" s="2">
        <f>[1]Sheet1!C242</f>
        <v>2021</v>
      </c>
      <c r="D248" s="2" t="str">
        <f>[1]Sheet1!F242</f>
        <v>Data Scientist</v>
      </c>
      <c r="E248" s="2" t="str">
        <f>[1]Sheet1!Y241</f>
        <v>Entry-Level</v>
      </c>
      <c r="F248" s="2" t="str">
        <f>[1]Sheet1!Q242</f>
        <v>31000 €</v>
      </c>
      <c r="G248" s="3">
        <f>[1]Sheet1!I242</f>
        <v>36643</v>
      </c>
      <c r="H248" s="2" t="str">
        <f>[1]Sheet1!N242</f>
        <v>Full-Time</v>
      </c>
      <c r="I248" s="2" t="str">
        <f>[1]Sheet1!O242</f>
        <v>Large</v>
      </c>
      <c r="J248" s="2" t="str">
        <f>[1]Sheet1!R242</f>
        <v>France</v>
      </c>
      <c r="K248" s="2" t="str">
        <f>[1]Sheet1!S242</f>
        <v>France</v>
      </c>
      <c r="L248" s="1"/>
    </row>
    <row r="249" spans="2:12">
      <c r="B249">
        <f>[1]Sheet1!B243</f>
        <v>240</v>
      </c>
      <c r="C249" s="2">
        <f>[1]Sheet1!C243</f>
        <v>2021</v>
      </c>
      <c r="D249" s="2" t="str">
        <f>[1]Sheet1!F243</f>
        <v>Data Engineer</v>
      </c>
      <c r="E249" s="2" t="str">
        <f>[1]Sheet1!Y242</f>
        <v>Mid-Level</v>
      </c>
      <c r="F249" s="2" t="str">
        <f>[1]Sheet1!Q243</f>
        <v>108000 ₺</v>
      </c>
      <c r="G249" s="3">
        <f>[1]Sheet1!I243</f>
        <v>12103</v>
      </c>
      <c r="H249" s="2" t="str">
        <f>[1]Sheet1!N243</f>
        <v>Full-Time</v>
      </c>
      <c r="I249" s="2" t="str">
        <f>[1]Sheet1!O243</f>
        <v>Contract</v>
      </c>
      <c r="J249" s="2" t="str">
        <f>[1]Sheet1!R243</f>
        <v>Türkiye (Turkey)</v>
      </c>
      <c r="K249" s="2" t="str">
        <f>[1]Sheet1!S243</f>
        <v>Turkey (Türkiye)</v>
      </c>
      <c r="L249" s="1"/>
    </row>
    <row r="250" spans="2:12">
      <c r="B250">
        <f>[1]Sheet1!B244</f>
        <v>241</v>
      </c>
      <c r="C250" s="2">
        <f>[1]Sheet1!C244</f>
        <v>2021</v>
      </c>
      <c r="D250" s="2" t="str">
        <f>[1]Sheet1!F244</f>
        <v>Data Engineer</v>
      </c>
      <c r="E250" s="2" t="str">
        <f>[1]Sheet1!Y243</f>
        <v>Senior-Level</v>
      </c>
      <c r="F250" s="2" t="str">
        <f>[1]Sheet1!Q244</f>
        <v>70000 £</v>
      </c>
      <c r="G250" s="3">
        <f>[1]Sheet1!I244</f>
        <v>96282</v>
      </c>
      <c r="H250" s="2" t="str">
        <f>[1]Sheet1!N244</f>
        <v>Full-Time</v>
      </c>
      <c r="I250" s="2" t="str">
        <f>[1]Sheet1!O244</f>
        <v>Large</v>
      </c>
      <c r="J250" s="2" t="str">
        <f>[1]Sheet1!R244</f>
        <v>United Kingdom</v>
      </c>
      <c r="K250" s="2" t="str">
        <f>[1]Sheet1!S244</f>
        <v>United Kingdom</v>
      </c>
      <c r="L250" s="1"/>
    </row>
    <row r="251" spans="2:12">
      <c r="B251">
        <f>[1]Sheet1!B245</f>
        <v>242</v>
      </c>
      <c r="C251" s="2">
        <f>[1]Sheet1!C245</f>
        <v>2021</v>
      </c>
      <c r="D251" s="2" t="str">
        <f>[1]Sheet1!F245</f>
        <v>Principal Data Analyst</v>
      </c>
      <c r="E251" s="2" t="str">
        <f>[1]Sheet1!Y244</f>
        <v>Senior-Level</v>
      </c>
      <c r="F251" s="2" t="str">
        <f>[1]Sheet1!Q245</f>
        <v>170000 $</v>
      </c>
      <c r="G251" s="3">
        <f>[1]Sheet1!I245</f>
        <v>170000</v>
      </c>
      <c r="H251" s="2" t="str">
        <f>[1]Sheet1!N245</f>
        <v>Full-Time</v>
      </c>
      <c r="I251" s="2" t="str">
        <f>[1]Sheet1!O245</f>
        <v>Contract</v>
      </c>
      <c r="J251" s="2" t="str">
        <f>[1]Sheet1!R245</f>
        <v>United States</v>
      </c>
      <c r="K251" s="2" t="str">
        <f>[1]Sheet1!S245</f>
        <v>United States</v>
      </c>
      <c r="L251" s="1"/>
    </row>
    <row r="252" spans="2:12">
      <c r="B252">
        <f>[1]Sheet1!B246</f>
        <v>243</v>
      </c>
      <c r="C252" s="2">
        <f>[1]Sheet1!C246</f>
        <v>2021</v>
      </c>
      <c r="D252" s="2" t="str">
        <f>[1]Sheet1!F246</f>
        <v>Data Scientist</v>
      </c>
      <c r="E252" s="2" t="str">
        <f>[1]Sheet1!Y245</f>
        <v>Mid-Level</v>
      </c>
      <c r="F252" s="2" t="str">
        <f>[1]Sheet1!Q246</f>
        <v>115000 $</v>
      </c>
      <c r="G252" s="3">
        <f>[1]Sheet1!I246</f>
        <v>115000</v>
      </c>
      <c r="H252" s="2" t="str">
        <f>[1]Sheet1!N246</f>
        <v>Full-Time</v>
      </c>
      <c r="I252" s="2" t="str">
        <f>[1]Sheet1!O246</f>
        <v>Large</v>
      </c>
      <c r="J252" s="2" t="str">
        <f>[1]Sheet1!R246</f>
        <v>United States</v>
      </c>
      <c r="K252" s="2" t="str">
        <f>[1]Sheet1!S246</f>
        <v>United States</v>
      </c>
      <c r="L252" s="1"/>
    </row>
    <row r="253" spans="2:12">
      <c r="B253">
        <f>[1]Sheet1!B247</f>
        <v>244</v>
      </c>
      <c r="C253" s="2">
        <f>[1]Sheet1!C247</f>
        <v>2021</v>
      </c>
      <c r="D253" s="2" t="str">
        <f>[1]Sheet1!F247</f>
        <v>Data Scientist</v>
      </c>
      <c r="E253" s="2" t="str">
        <f>[1]Sheet1!Y246</f>
        <v>Entry-Level</v>
      </c>
      <c r="F253" s="2" t="str">
        <f>[1]Sheet1!Q247</f>
        <v>90000 $</v>
      </c>
      <c r="G253" s="3">
        <f>[1]Sheet1!I247</f>
        <v>90000</v>
      </c>
      <c r="H253" s="2" t="str">
        <f>[1]Sheet1!N247</f>
        <v>Full-Time</v>
      </c>
      <c r="I253" s="2" t="str">
        <f>[1]Sheet1!O247</f>
        <v>Small</v>
      </c>
      <c r="J253" s="2" t="str">
        <f>[1]Sheet1!R247</f>
        <v>United States</v>
      </c>
      <c r="K253" s="2" t="str">
        <f>[1]Sheet1!S247</f>
        <v>United States</v>
      </c>
      <c r="L253" s="1"/>
    </row>
    <row r="254" spans="2:12">
      <c r="B254">
        <f>[1]Sheet1!B248</f>
        <v>245</v>
      </c>
      <c r="C254" s="2">
        <f>[1]Sheet1!C248</f>
        <v>2021</v>
      </c>
      <c r="D254" s="2" t="str">
        <f>[1]Sheet1!F248</f>
        <v>Principal Data Engineer</v>
      </c>
      <c r="E254" s="2" t="str">
        <f>[1]Sheet1!Y247</f>
        <v>Executive</v>
      </c>
      <c r="F254" s="2" t="str">
        <f>[1]Sheet1!Q248</f>
        <v>600000 $</v>
      </c>
      <c r="G254" s="3">
        <f>[1]Sheet1!I248</f>
        <v>600000</v>
      </c>
      <c r="H254" s="2" t="str">
        <f>[1]Sheet1!N248</f>
        <v>Full-Time</v>
      </c>
      <c r="I254" s="2" t="str">
        <f>[1]Sheet1!O248</f>
        <v>Large</v>
      </c>
      <c r="J254" s="2" t="str">
        <f>[1]Sheet1!R248</f>
        <v>United States</v>
      </c>
      <c r="K254" s="2" t="str">
        <f>[1]Sheet1!S248</f>
        <v>United States</v>
      </c>
      <c r="L254" s="1"/>
    </row>
    <row r="255" spans="2:12">
      <c r="B255">
        <f>[1]Sheet1!B249</f>
        <v>246</v>
      </c>
      <c r="C255" s="2">
        <f>[1]Sheet1!C249</f>
        <v>2021</v>
      </c>
      <c r="D255" s="2" t="str">
        <f>[1]Sheet1!F249</f>
        <v>Data Scientist</v>
      </c>
      <c r="E255" s="2" t="str">
        <f>[1]Sheet1!Y248</f>
        <v>Entry-Level</v>
      </c>
      <c r="F255" s="2" t="str">
        <f>[1]Sheet1!Q249</f>
        <v>2100000 ₹</v>
      </c>
      <c r="G255" s="3">
        <f>[1]Sheet1!I249</f>
        <v>28399</v>
      </c>
      <c r="H255" s="2" t="str">
        <f>[1]Sheet1!N249</f>
        <v>Full-Time</v>
      </c>
      <c r="I255" s="2" t="str">
        <f>[1]Sheet1!O249</f>
        <v>Contract</v>
      </c>
      <c r="J255" s="2" t="str">
        <f>[1]Sheet1!R249</f>
        <v>India</v>
      </c>
      <c r="K255" s="2" t="str">
        <f>[1]Sheet1!S249</f>
        <v>India</v>
      </c>
      <c r="L255" s="1"/>
    </row>
    <row r="256" spans="2:12">
      <c r="B256">
        <f>[1]Sheet1!B250</f>
        <v>247</v>
      </c>
      <c r="C256" s="2">
        <f>[1]Sheet1!C250</f>
        <v>2021</v>
      </c>
      <c r="D256" s="2" t="str">
        <f>[1]Sheet1!F250</f>
        <v>Data Analyst</v>
      </c>
      <c r="E256" s="2" t="str">
        <f>[1]Sheet1!Y249</f>
        <v>Mid-Level</v>
      </c>
      <c r="F256" s="2" t="str">
        <f>[1]Sheet1!Q250</f>
        <v>93000 $</v>
      </c>
      <c r="G256" s="3">
        <f>[1]Sheet1!I250</f>
        <v>93000</v>
      </c>
      <c r="H256" s="2" t="str">
        <f>[1]Sheet1!N250</f>
        <v>Full-Time</v>
      </c>
      <c r="I256" s="2" t="str">
        <f>[1]Sheet1!O250</f>
        <v>Large</v>
      </c>
      <c r="J256" s="2" t="str">
        <f>[1]Sheet1!R250</f>
        <v>United States</v>
      </c>
      <c r="K256" s="2" t="str">
        <f>[1]Sheet1!S250</f>
        <v>United States</v>
      </c>
      <c r="L256" s="1"/>
    </row>
    <row r="257" spans="2:12">
      <c r="B257">
        <f>[1]Sheet1!B251</f>
        <v>248</v>
      </c>
      <c r="C257" s="2">
        <f>[1]Sheet1!C251</f>
        <v>2021</v>
      </c>
      <c r="D257" s="2" t="str">
        <f>[1]Sheet1!F251</f>
        <v>Big Data Architect</v>
      </c>
      <c r="E257" s="2" t="str">
        <f>[1]Sheet1!Y250</f>
        <v>Senior-Level</v>
      </c>
      <c r="F257" s="2" t="str">
        <f>[1]Sheet1!Q251</f>
        <v>125000 C$</v>
      </c>
      <c r="G257" s="3">
        <f>[1]Sheet1!I251</f>
        <v>99703</v>
      </c>
      <c r="H257" s="2" t="str">
        <f>[1]Sheet1!N251</f>
        <v>Full-Time</v>
      </c>
      <c r="I257" s="2" t="str">
        <f>[1]Sheet1!O251</f>
        <v>Contract</v>
      </c>
      <c r="J257" s="2" t="str">
        <f>[1]Sheet1!R251</f>
        <v>Canada</v>
      </c>
      <c r="K257" s="2" t="str">
        <f>[1]Sheet1!S251</f>
        <v>Canada</v>
      </c>
      <c r="L257" s="1"/>
    </row>
    <row r="258" spans="2:12">
      <c r="B258">
        <f>[1]Sheet1!B252</f>
        <v>249</v>
      </c>
      <c r="C258" s="2">
        <f>[1]Sheet1!C252</f>
        <v>2021</v>
      </c>
      <c r="D258" s="2" t="str">
        <f>[1]Sheet1!F252</f>
        <v>Principal Data Scientist</v>
      </c>
      <c r="E258" s="2" t="str">
        <f>[1]Sheet1!Y251</f>
        <v>Senior-Level</v>
      </c>
      <c r="F258" s="2" t="str">
        <f>[1]Sheet1!Q252</f>
        <v>147000 €</v>
      </c>
      <c r="G258" s="3">
        <f>[1]Sheet1!I252</f>
        <v>173762</v>
      </c>
      <c r="H258" s="2" t="str">
        <f>[1]Sheet1!N252</f>
        <v>Full-Time</v>
      </c>
      <c r="I258" s="2" t="str">
        <f>[1]Sheet1!O252</f>
        <v>Contract</v>
      </c>
      <c r="J258" s="2" t="str">
        <f>[1]Sheet1!R252</f>
        <v>Germany</v>
      </c>
      <c r="K258" s="2" t="str">
        <f>[1]Sheet1!S252</f>
        <v>Germany</v>
      </c>
      <c r="L258" s="1"/>
    </row>
    <row r="259" spans="2:12">
      <c r="B259">
        <f>[1]Sheet1!B253</f>
        <v>250</v>
      </c>
      <c r="C259" s="2">
        <f>[1]Sheet1!C253</f>
        <v>2021</v>
      </c>
      <c r="D259" s="2" t="str">
        <f>[1]Sheet1!F253</f>
        <v>Machine Learning Engineer</v>
      </c>
      <c r="E259" s="2" t="str">
        <f>[1]Sheet1!Y252</f>
        <v>Senior-Level</v>
      </c>
      <c r="F259" s="2" t="str">
        <f>[1]Sheet1!Q253</f>
        <v>185000 $</v>
      </c>
      <c r="G259" s="3">
        <f>[1]Sheet1!I253</f>
        <v>185000</v>
      </c>
      <c r="H259" s="2" t="str">
        <f>[1]Sheet1!N253</f>
        <v>Full-Time</v>
      </c>
      <c r="I259" s="2" t="str">
        <f>[1]Sheet1!O253</f>
        <v>Large</v>
      </c>
      <c r="J259" s="2" t="str">
        <f>[1]Sheet1!R253</f>
        <v>United States</v>
      </c>
      <c r="K259" s="2" t="str">
        <f>[1]Sheet1!S253</f>
        <v>United States</v>
      </c>
      <c r="L259" s="1"/>
    </row>
    <row r="260" spans="2:12">
      <c r="B260">
        <f>[1]Sheet1!B254</f>
        <v>251</v>
      </c>
      <c r="C260" s="2">
        <f>[1]Sheet1!C254</f>
        <v>2021</v>
      </c>
      <c r="D260" s="2" t="str">
        <f>[1]Sheet1!F254</f>
        <v>Director of Data Science</v>
      </c>
      <c r="E260" s="2" t="str">
        <f>[1]Sheet1!Y253</f>
        <v>Executive</v>
      </c>
      <c r="F260" s="2" t="str">
        <f>[1]Sheet1!Q254</f>
        <v>120000 €</v>
      </c>
      <c r="G260" s="3">
        <f>[1]Sheet1!I254</f>
        <v>141846</v>
      </c>
      <c r="H260" s="2" t="str">
        <f>[1]Sheet1!N254</f>
        <v>Full-Time</v>
      </c>
      <c r="I260" s="2" t="str">
        <f>[1]Sheet1!O254</f>
        <v>Large</v>
      </c>
      <c r="J260" s="2" t="str">
        <f>[1]Sheet1!R254</f>
        <v>Germany</v>
      </c>
      <c r="K260" s="2" t="str">
        <f>[1]Sheet1!S254</f>
        <v>Germany</v>
      </c>
      <c r="L260" s="1"/>
    </row>
    <row r="261" spans="2:12">
      <c r="B261">
        <f>[1]Sheet1!B255</f>
        <v>252</v>
      </c>
      <c r="C261" s="2">
        <f>[1]Sheet1!C255</f>
        <v>2021</v>
      </c>
      <c r="D261" s="2" t="str">
        <f>[1]Sheet1!F255</f>
        <v>Data Scientist</v>
      </c>
      <c r="E261" s="2" t="str">
        <f>[1]Sheet1!Y254</f>
        <v>Mid-Level</v>
      </c>
      <c r="F261" s="2" t="str">
        <f>[1]Sheet1!Q255</f>
        <v>130000 $</v>
      </c>
      <c r="G261" s="3">
        <f>[1]Sheet1!I255</f>
        <v>130000</v>
      </c>
      <c r="H261" s="2" t="str">
        <f>[1]Sheet1!N255</f>
        <v>Full-Time</v>
      </c>
      <c r="I261" s="2" t="str">
        <f>[1]Sheet1!O255</f>
        <v>Large</v>
      </c>
      <c r="J261" s="2" t="str">
        <f>[1]Sheet1!R255</f>
        <v>United States</v>
      </c>
      <c r="K261" s="2" t="str">
        <f>[1]Sheet1!S255</f>
        <v>United States</v>
      </c>
      <c r="L261" s="1"/>
    </row>
    <row r="262" spans="2:12">
      <c r="B262">
        <f>[1]Sheet1!B256</f>
        <v>253</v>
      </c>
      <c r="C262" s="2">
        <f>[1]Sheet1!C256</f>
        <v>2021</v>
      </c>
      <c r="D262" s="2" t="str">
        <f>[1]Sheet1!F256</f>
        <v>Data Analyst</v>
      </c>
      <c r="E262" s="2" t="str">
        <f>[1]Sheet1!Y255</f>
        <v>Senior-Level</v>
      </c>
      <c r="F262" s="2" t="str">
        <f>[1]Sheet1!Q256</f>
        <v>54000 €</v>
      </c>
      <c r="G262" s="3">
        <f>[1]Sheet1!I256</f>
        <v>63831</v>
      </c>
      <c r="H262" s="2" t="str">
        <f>[1]Sheet1!N256</f>
        <v>Full-Time</v>
      </c>
      <c r="I262" s="2" t="str">
        <f>[1]Sheet1!O256</f>
        <v>Large</v>
      </c>
      <c r="J262" s="2" t="str">
        <f>[1]Sheet1!R256</f>
        <v>Germany</v>
      </c>
      <c r="K262" s="2" t="str">
        <f>[1]Sheet1!S256</f>
        <v>Germany</v>
      </c>
      <c r="L262" s="1"/>
    </row>
    <row r="263" spans="2:12">
      <c r="B263">
        <f>[1]Sheet1!B257</f>
        <v>254</v>
      </c>
      <c r="C263" s="2">
        <f>[1]Sheet1!C257</f>
        <v>2021</v>
      </c>
      <c r="D263" s="2" t="str">
        <f>[1]Sheet1!F257</f>
        <v>Data Scientist</v>
      </c>
      <c r="E263" s="2" t="str">
        <f>[1]Sheet1!Y256</f>
        <v>Mid-Level</v>
      </c>
      <c r="F263" s="2" t="str">
        <f>[1]Sheet1!Q257</f>
        <v>1250000 ₹</v>
      </c>
      <c r="G263" s="3">
        <f>[1]Sheet1!I257</f>
        <v>16904</v>
      </c>
      <c r="H263" s="2" t="str">
        <f>[1]Sheet1!N257</f>
        <v>Full-Time</v>
      </c>
      <c r="I263" s="2" t="str">
        <f>[1]Sheet1!O257</f>
        <v>Small</v>
      </c>
      <c r="J263" s="2" t="str">
        <f>[1]Sheet1!R257</f>
        <v>India</v>
      </c>
      <c r="K263" s="2" t="str">
        <f>[1]Sheet1!S257</f>
        <v>India</v>
      </c>
      <c r="L263" s="1"/>
    </row>
    <row r="264" spans="2:12">
      <c r="B264">
        <f>[1]Sheet1!B258</f>
        <v>255</v>
      </c>
      <c r="C264" s="2">
        <f>[1]Sheet1!C258</f>
        <v>2021</v>
      </c>
      <c r="D264" s="2" t="str">
        <f>[1]Sheet1!F258</f>
        <v>Machine Learning Engineer</v>
      </c>
      <c r="E264" s="2" t="str">
        <f>[1]Sheet1!Y257</f>
        <v>Senior-Level</v>
      </c>
      <c r="F264" s="2" t="str">
        <f>[1]Sheet1!Q258</f>
        <v>4900000 ₹</v>
      </c>
      <c r="G264" s="3">
        <f>[1]Sheet1!I258</f>
        <v>66265</v>
      </c>
      <c r="H264" s="2" t="str">
        <f>[1]Sheet1!N258</f>
        <v>Full-Time</v>
      </c>
      <c r="I264" s="2" t="str">
        <f>[1]Sheet1!O258</f>
        <v>Large</v>
      </c>
      <c r="J264" s="2" t="str">
        <f>[1]Sheet1!R258</f>
        <v>India</v>
      </c>
      <c r="K264" s="2" t="str">
        <f>[1]Sheet1!S258</f>
        <v>India</v>
      </c>
      <c r="L264" s="1"/>
    </row>
    <row r="265" spans="2:12">
      <c r="B265">
        <f>[1]Sheet1!B259</f>
        <v>256</v>
      </c>
      <c r="C265" s="2">
        <f>[1]Sheet1!C259</f>
        <v>2021</v>
      </c>
      <c r="D265" s="2" t="str">
        <f>[1]Sheet1!F259</f>
        <v>Data Scientist</v>
      </c>
      <c r="E265" s="2" t="str">
        <f>[1]Sheet1!Y258</f>
        <v>Mid-Level</v>
      </c>
      <c r="F265" s="2" t="str">
        <f>[1]Sheet1!Q259</f>
        <v>21600 €</v>
      </c>
      <c r="G265" s="3">
        <f>[1]Sheet1!I259</f>
        <v>25532</v>
      </c>
      <c r="H265" s="2" t="str">
        <f>[1]Sheet1!N259</f>
        <v>Full-Time</v>
      </c>
      <c r="I265" s="2" t="str">
        <f>[1]Sheet1!O259</f>
        <v>Small</v>
      </c>
      <c r="J265" s="2" t="str">
        <f>[1]Sheet1!R259</f>
        <v>Serbia</v>
      </c>
      <c r="K265" s="2" t="str">
        <f>[1]Sheet1!S259</f>
        <v>Germany</v>
      </c>
      <c r="L265" s="1"/>
    </row>
    <row r="266" spans="2:12">
      <c r="B266">
        <f>[1]Sheet1!B260</f>
        <v>257</v>
      </c>
      <c r="C266" s="2">
        <f>[1]Sheet1!C260</f>
        <v>2021</v>
      </c>
      <c r="D266" s="2" t="str">
        <f>[1]Sheet1!F260</f>
        <v>Lead Data Engineer</v>
      </c>
      <c r="E266" s="2" t="str">
        <f>[1]Sheet1!Y259</f>
        <v>Senior-Level</v>
      </c>
      <c r="F266" s="2" t="str">
        <f>[1]Sheet1!Q260</f>
        <v>160000 $</v>
      </c>
      <c r="G266" s="3">
        <f>[1]Sheet1!I260</f>
        <v>160000</v>
      </c>
      <c r="H266" s="2" t="str">
        <f>[1]Sheet1!N260</f>
        <v>Full-Time</v>
      </c>
      <c r="I266" s="2" t="str">
        <f>[1]Sheet1!O260</f>
        <v>Small</v>
      </c>
      <c r="J266" s="2" t="str">
        <f>[1]Sheet1!R260</f>
        <v>Puerto Rico</v>
      </c>
      <c r="K266" s="2" t="str">
        <f>[1]Sheet1!S260</f>
        <v>United States</v>
      </c>
      <c r="L266" s="1"/>
    </row>
    <row r="267" spans="2:12">
      <c r="B267">
        <f>[1]Sheet1!B261</f>
        <v>258</v>
      </c>
      <c r="C267" s="2">
        <f>[1]Sheet1!C261</f>
        <v>2021</v>
      </c>
      <c r="D267" s="2" t="str">
        <f>[1]Sheet1!F261</f>
        <v>Data Engineer</v>
      </c>
      <c r="E267" s="2" t="str">
        <f>[1]Sheet1!Y260</f>
        <v>Mid-Level</v>
      </c>
      <c r="F267" s="2" t="str">
        <f>[1]Sheet1!Q261</f>
        <v>93150 $</v>
      </c>
      <c r="G267" s="3">
        <f>[1]Sheet1!I261</f>
        <v>93150</v>
      </c>
      <c r="H267" s="2" t="str">
        <f>[1]Sheet1!N261</f>
        <v>Full-Time</v>
      </c>
      <c r="I267" s="2" t="str">
        <f>[1]Sheet1!O261</f>
        <v>Contract</v>
      </c>
      <c r="J267" s="2" t="str">
        <f>[1]Sheet1!R261</f>
        <v>United States</v>
      </c>
      <c r="K267" s="2" t="str">
        <f>[1]Sheet1!S261</f>
        <v>United States</v>
      </c>
      <c r="L267" s="1"/>
    </row>
    <row r="268" spans="2:12">
      <c r="B268">
        <f>[1]Sheet1!B262</f>
        <v>259</v>
      </c>
      <c r="C268" s="2">
        <f>[1]Sheet1!C262</f>
        <v>2021</v>
      </c>
      <c r="D268" s="2" t="str">
        <f>[1]Sheet1!F262</f>
        <v>Data Engineer</v>
      </c>
      <c r="E268" s="2" t="str">
        <f>[1]Sheet1!Y261</f>
        <v>Mid-Level</v>
      </c>
      <c r="F268" s="2" t="str">
        <f>[1]Sheet1!Q262</f>
        <v>111775 $</v>
      </c>
      <c r="G268" s="3">
        <f>[1]Sheet1!I262</f>
        <v>111775</v>
      </c>
      <c r="H268" s="2" t="str">
        <f>[1]Sheet1!N262</f>
        <v>Full-Time</v>
      </c>
      <c r="I268" s="2" t="str">
        <f>[1]Sheet1!O262</f>
        <v>Contract</v>
      </c>
      <c r="J268" s="2" t="str">
        <f>[1]Sheet1!R262</f>
        <v>United States</v>
      </c>
      <c r="K268" s="2" t="str">
        <f>[1]Sheet1!S262</f>
        <v>United States</v>
      </c>
      <c r="L268" s="1"/>
    </row>
    <row r="269" spans="2:12">
      <c r="B269">
        <f>[1]Sheet1!B263</f>
        <v>260</v>
      </c>
      <c r="C269" s="2">
        <f>[1]Sheet1!C263</f>
        <v>2021</v>
      </c>
      <c r="D269" s="2" t="str">
        <f>[1]Sheet1!F263</f>
        <v>Data Engineer</v>
      </c>
      <c r="E269" s="2" t="str">
        <f>[1]Sheet1!Y262</f>
        <v>Mid-Level</v>
      </c>
      <c r="F269" s="2" t="str">
        <f>[1]Sheet1!Q263</f>
        <v>250000 ₺</v>
      </c>
      <c r="G269" s="3">
        <f>[1]Sheet1!I263</f>
        <v>28016</v>
      </c>
      <c r="H269" s="2" t="str">
        <f>[1]Sheet1!N263</f>
        <v>Full-Time</v>
      </c>
      <c r="I269" s="2" t="str">
        <f>[1]Sheet1!O263</f>
        <v>Contract</v>
      </c>
      <c r="J269" s="2" t="str">
        <f>[1]Sheet1!R263</f>
        <v>Türkiye (Turkey)</v>
      </c>
      <c r="K269" s="2" t="str">
        <f>[1]Sheet1!S263</f>
        <v>Turkey (Türkiye)</v>
      </c>
      <c r="L269" s="1"/>
    </row>
    <row r="270" spans="2:12">
      <c r="B270">
        <f>[1]Sheet1!B264</f>
        <v>261</v>
      </c>
      <c r="C270" s="2">
        <f>[1]Sheet1!C264</f>
        <v>2021</v>
      </c>
      <c r="D270" s="2" t="str">
        <f>[1]Sheet1!F264</f>
        <v>Data Engineer</v>
      </c>
      <c r="E270" s="2" t="str">
        <f>[1]Sheet1!Y263</f>
        <v>Entry-Level</v>
      </c>
      <c r="F270" s="2" t="str">
        <f>[1]Sheet1!Q264</f>
        <v>55000 €</v>
      </c>
      <c r="G270" s="3">
        <f>[1]Sheet1!I264</f>
        <v>65013</v>
      </c>
      <c r="H270" s="2" t="str">
        <f>[1]Sheet1!N264</f>
        <v>Full-Time</v>
      </c>
      <c r="I270" s="2" t="str">
        <f>[1]Sheet1!O264</f>
        <v>Contract</v>
      </c>
      <c r="J270" s="2" t="str">
        <f>[1]Sheet1!R264</f>
        <v>Germany</v>
      </c>
      <c r="K270" s="2" t="str">
        <f>[1]Sheet1!S264</f>
        <v>Germany</v>
      </c>
      <c r="L270" s="1"/>
    </row>
    <row r="271" spans="2:12">
      <c r="B271">
        <f>[1]Sheet1!B265</f>
        <v>262</v>
      </c>
      <c r="C271" s="2">
        <f>[1]Sheet1!C265</f>
        <v>2021</v>
      </c>
      <c r="D271" s="2" t="str">
        <f>[1]Sheet1!F265</f>
        <v>Data Engineer</v>
      </c>
      <c r="E271" s="2" t="str">
        <f>[1]Sheet1!Y264</f>
        <v>Entry-Level</v>
      </c>
      <c r="F271" s="2" t="str">
        <f>[1]Sheet1!Q265</f>
        <v>72500 $</v>
      </c>
      <c r="G271" s="3">
        <f>[1]Sheet1!I265</f>
        <v>72500</v>
      </c>
      <c r="H271" s="2" t="str">
        <f>[1]Sheet1!N265</f>
        <v>Full-Time</v>
      </c>
      <c r="I271" s="2" t="str">
        <f>[1]Sheet1!O265</f>
        <v>Large</v>
      </c>
      <c r="J271" s="2" t="str">
        <f>[1]Sheet1!R265</f>
        <v>United States</v>
      </c>
      <c r="K271" s="2" t="str">
        <f>[1]Sheet1!S265</f>
        <v>United States</v>
      </c>
      <c r="L271" s="1"/>
    </row>
    <row r="272" spans="2:12">
      <c r="B272">
        <f>[1]Sheet1!B266</f>
        <v>263</v>
      </c>
      <c r="C272" s="2">
        <f>[1]Sheet1!C266</f>
        <v>2021</v>
      </c>
      <c r="D272" s="2" t="str">
        <f>[1]Sheet1!F266</f>
        <v>Computer Vision Engineer</v>
      </c>
      <c r="E272" s="2" t="str">
        <f>[1]Sheet1!Y265</f>
        <v>Senior-Level</v>
      </c>
      <c r="F272" s="2" t="str">
        <f>[1]Sheet1!Q266</f>
        <v>102000 R$</v>
      </c>
      <c r="G272" s="3">
        <f>[1]Sheet1!I266</f>
        <v>18907</v>
      </c>
      <c r="H272" s="2" t="str">
        <f>[1]Sheet1!N266</f>
        <v>Full-Time</v>
      </c>
      <c r="I272" s="2" t="str">
        <f>[1]Sheet1!O266</f>
        <v>Contract</v>
      </c>
      <c r="J272" s="2" t="str">
        <f>[1]Sheet1!R266</f>
        <v>Brazil</v>
      </c>
      <c r="K272" s="2" t="str">
        <f>[1]Sheet1!S266</f>
        <v>Brazil</v>
      </c>
      <c r="L272" s="1"/>
    </row>
    <row r="273" spans="2:12">
      <c r="B273">
        <f>[1]Sheet1!B267</f>
        <v>264</v>
      </c>
      <c r="C273" s="2">
        <f>[1]Sheet1!C267</f>
        <v>2021</v>
      </c>
      <c r="D273" s="2" t="str">
        <f>[1]Sheet1!F267</f>
        <v>Machine Learning Engineer</v>
      </c>
      <c r="E273" s="2" t="str">
        <f>[1]Sheet1!Y266</f>
        <v>Entry-Level</v>
      </c>
      <c r="F273" s="2" t="str">
        <f>[1]Sheet1!Q267</f>
        <v>85000 $</v>
      </c>
      <c r="G273" s="3">
        <f>[1]Sheet1!I267</f>
        <v>85000</v>
      </c>
      <c r="H273" s="2" t="str">
        <f>[1]Sheet1!N267</f>
        <v>Full-Time</v>
      </c>
      <c r="I273" s="2" t="str">
        <f>[1]Sheet1!O267</f>
        <v>Small</v>
      </c>
      <c r="J273" s="2" t="str">
        <f>[1]Sheet1!R267</f>
        <v>Netherlands</v>
      </c>
      <c r="K273" s="2" t="str">
        <f>[1]Sheet1!S267</f>
        <v>Germany</v>
      </c>
      <c r="L273" s="1"/>
    </row>
    <row r="274" spans="2:12">
      <c r="B274">
        <f>[1]Sheet1!B268</f>
        <v>265</v>
      </c>
      <c r="C274" s="2">
        <f>[1]Sheet1!C268</f>
        <v>2021</v>
      </c>
      <c r="D274" s="2" t="str">
        <f>[1]Sheet1!F268</f>
        <v>Data Scientist</v>
      </c>
      <c r="E274" s="2" t="str">
        <f>[1]Sheet1!Y267</f>
        <v>Senior-Level</v>
      </c>
      <c r="F274" s="2" t="str">
        <f>[1]Sheet1!Q268</f>
        <v>65720 €</v>
      </c>
      <c r="G274" s="3">
        <f>[1]Sheet1!I268</f>
        <v>77684</v>
      </c>
      <c r="H274" s="2" t="str">
        <f>[1]Sheet1!N268</f>
        <v>Full-Time</v>
      </c>
      <c r="I274" s="2" t="str">
        <f>[1]Sheet1!O268</f>
        <v>Contract</v>
      </c>
      <c r="J274" s="2" t="str">
        <f>[1]Sheet1!R268</f>
        <v>France</v>
      </c>
      <c r="K274" s="2" t="str">
        <f>[1]Sheet1!S268</f>
        <v>France</v>
      </c>
      <c r="L274" s="1"/>
    </row>
    <row r="275" spans="2:12">
      <c r="B275">
        <f>[1]Sheet1!B269</f>
        <v>266</v>
      </c>
      <c r="C275" s="2">
        <f>[1]Sheet1!C269</f>
        <v>2021</v>
      </c>
      <c r="D275" s="2" t="str">
        <f>[1]Sheet1!F269</f>
        <v>Data Scientist</v>
      </c>
      <c r="E275" s="2" t="str">
        <f>[1]Sheet1!Y268</f>
        <v>Entry-Level</v>
      </c>
      <c r="F275" s="2" t="str">
        <f>[1]Sheet1!Q269</f>
        <v>58000 $</v>
      </c>
      <c r="G275" s="3">
        <f>[1]Sheet1!I269</f>
        <v>58000</v>
      </c>
      <c r="H275" s="2" t="str">
        <f>[1]Sheet1!N269</f>
        <v>Full-Time</v>
      </c>
      <c r="I275" s="2" t="str">
        <f>[1]Sheet1!O269</f>
        <v>Large</v>
      </c>
      <c r="J275" s="2" t="str">
        <f>[1]Sheet1!R269</f>
        <v>United States</v>
      </c>
      <c r="K275" s="2" t="str">
        <f>[1]Sheet1!S269</f>
        <v>United States</v>
      </c>
      <c r="L275" s="1"/>
    </row>
    <row r="276" spans="2:12">
      <c r="B276">
        <f>[1]Sheet1!B270</f>
        <v>267</v>
      </c>
      <c r="C276" s="2">
        <f>[1]Sheet1!C270</f>
        <v>2021</v>
      </c>
      <c r="D276" s="2" t="str">
        <f>[1]Sheet1!F270</f>
        <v>AI Scientist</v>
      </c>
      <c r="E276" s="2" t="str">
        <f>[1]Sheet1!Y269</f>
        <v>Senior-Level</v>
      </c>
      <c r="F276" s="2" t="str">
        <f>[1]Sheet1!Q270</f>
        <v>55000 $</v>
      </c>
      <c r="G276" s="3">
        <f>[1]Sheet1!I270</f>
        <v>55000</v>
      </c>
      <c r="H276" s="2" t="str">
        <f>[1]Sheet1!N270</f>
        <v>Full-Time</v>
      </c>
      <c r="I276" s="2" t="str">
        <f>[1]Sheet1!O270</f>
        <v>Large</v>
      </c>
      <c r="J276" s="2" t="str">
        <f>[1]Sheet1!R270</f>
        <v>Spain</v>
      </c>
      <c r="K276" s="2" t="str">
        <f>[1]Sheet1!S270</f>
        <v>Spain</v>
      </c>
      <c r="L276" s="1"/>
    </row>
    <row r="277" spans="2:12">
      <c r="B277">
        <f>[1]Sheet1!B271</f>
        <v>268</v>
      </c>
      <c r="C277" s="2">
        <f>[1]Sheet1!C271</f>
        <v>2021</v>
      </c>
      <c r="D277" s="2" t="str">
        <f>[1]Sheet1!F271</f>
        <v>Data Scientist</v>
      </c>
      <c r="E277" s="2" t="str">
        <f>[1]Sheet1!Y270</f>
        <v>Senior-Level</v>
      </c>
      <c r="F277" s="2" t="str">
        <f>[1]Sheet1!Q271</f>
        <v>180000 ₺</v>
      </c>
      <c r="G277" s="3">
        <f>[1]Sheet1!I271</f>
        <v>20171</v>
      </c>
      <c r="H277" s="2" t="str">
        <f>[1]Sheet1!N271</f>
        <v>Full-Time</v>
      </c>
      <c r="I277" s="2" t="str">
        <f>[1]Sheet1!O271</f>
        <v>Large</v>
      </c>
      <c r="J277" s="2" t="str">
        <f>[1]Sheet1!R271</f>
        <v>Türkiye (Turkey)</v>
      </c>
      <c r="K277" s="2" t="str">
        <f>[1]Sheet1!S271</f>
        <v>Turkey (Türkiye)</v>
      </c>
      <c r="L277" s="1"/>
    </row>
    <row r="278" spans="2:12">
      <c r="B278">
        <f>[1]Sheet1!B272</f>
        <v>269</v>
      </c>
      <c r="C278" s="2">
        <f>[1]Sheet1!C272</f>
        <v>2021</v>
      </c>
      <c r="D278" s="2" t="str">
        <f>[1]Sheet1!F272</f>
        <v>Business Data Analyst</v>
      </c>
      <c r="E278" s="2" t="str">
        <f>[1]Sheet1!Y271</f>
        <v>Entry-Level</v>
      </c>
      <c r="F278" s="2" t="str">
        <f>[1]Sheet1!Q272</f>
        <v>50000 €</v>
      </c>
      <c r="G278" s="3">
        <f>[1]Sheet1!I272</f>
        <v>59102</v>
      </c>
      <c r="H278" s="2" t="str">
        <f>[1]Sheet1!N272</f>
        <v>Full-Time</v>
      </c>
      <c r="I278" s="2" t="str">
        <f>[1]Sheet1!O272</f>
        <v>Large</v>
      </c>
      <c r="J278" s="2" t="str">
        <f>[1]Sheet1!R272</f>
        <v>Luxembourg</v>
      </c>
      <c r="K278" s="2" t="str">
        <f>[1]Sheet1!S272</f>
        <v>Luxembourg</v>
      </c>
      <c r="L278" s="1"/>
    </row>
    <row r="279" spans="2:12">
      <c r="B279">
        <f>[1]Sheet1!B273</f>
        <v>270</v>
      </c>
      <c r="C279" s="2">
        <f>[1]Sheet1!C273</f>
        <v>2021</v>
      </c>
      <c r="D279" s="2" t="str">
        <f>[1]Sheet1!F273</f>
        <v>Data Engineer</v>
      </c>
      <c r="E279" s="2" t="str">
        <f>[1]Sheet1!Y272</f>
        <v>Mid-Level</v>
      </c>
      <c r="F279" s="2" t="str">
        <f>[1]Sheet1!Q273</f>
        <v>112000 $</v>
      </c>
      <c r="G279" s="3">
        <f>[1]Sheet1!I273</f>
        <v>112000</v>
      </c>
      <c r="H279" s="2" t="str">
        <f>[1]Sheet1!N273</f>
        <v>Full-Time</v>
      </c>
      <c r="I279" s="2" t="str">
        <f>[1]Sheet1!O273</f>
        <v>Large</v>
      </c>
      <c r="J279" s="2" t="str">
        <f>[1]Sheet1!R273</f>
        <v>United States</v>
      </c>
      <c r="K279" s="2" t="str">
        <f>[1]Sheet1!S273</f>
        <v>United States</v>
      </c>
      <c r="L279" s="1"/>
    </row>
    <row r="280" spans="2:12">
      <c r="B280">
        <f>[1]Sheet1!B274</f>
        <v>271</v>
      </c>
      <c r="C280" s="2">
        <f>[1]Sheet1!C274</f>
        <v>2021</v>
      </c>
      <c r="D280" s="2" t="str">
        <f>[1]Sheet1!F274</f>
        <v>Research Scientist</v>
      </c>
      <c r="E280" s="2" t="str">
        <f>[1]Sheet1!Y273</f>
        <v>Entry-Level</v>
      </c>
      <c r="F280" s="2" t="str">
        <f>[1]Sheet1!Q274</f>
        <v>100000 $</v>
      </c>
      <c r="G280" s="3">
        <f>[1]Sheet1!I274</f>
        <v>100000</v>
      </c>
      <c r="H280" s="2" t="str">
        <f>[1]Sheet1!N274</f>
        <v>Full-Time</v>
      </c>
      <c r="I280" s="2" t="str">
        <f>[1]Sheet1!O274</f>
        <v>Large</v>
      </c>
      <c r="J280" s="2" t="str">
        <f>[1]Sheet1!R274</f>
        <v>Jersey</v>
      </c>
      <c r="K280" s="2" t="str">
        <f>[1]Sheet1!S274</f>
        <v>China</v>
      </c>
      <c r="L280" s="1"/>
    </row>
    <row r="281" spans="2:12">
      <c r="B281">
        <f>[1]Sheet1!B275</f>
        <v>272</v>
      </c>
      <c r="C281" s="2">
        <f>[1]Sheet1!C275</f>
        <v>2021</v>
      </c>
      <c r="D281" s="2" t="str">
        <f>[1]Sheet1!F275</f>
        <v>Data Engineer</v>
      </c>
      <c r="E281" s="2" t="str">
        <f>[1]Sheet1!Y274</f>
        <v>Mid-Level</v>
      </c>
      <c r="F281" s="2" t="str">
        <f>[1]Sheet1!Q275</f>
        <v>59000 €</v>
      </c>
      <c r="G281" s="3">
        <f>[1]Sheet1!I275</f>
        <v>69741</v>
      </c>
      <c r="H281" s="2" t="str">
        <f>[1]Sheet1!N275</f>
        <v>Part-Time</v>
      </c>
      <c r="I281" s="2" t="str">
        <f>[1]Sheet1!O275</f>
        <v>Large</v>
      </c>
      <c r="J281" s="2" t="str">
        <f>[1]Sheet1!R275</f>
        <v>Netherlands</v>
      </c>
      <c r="K281" s="2" t="str">
        <f>[1]Sheet1!S275</f>
        <v>Netherlands</v>
      </c>
      <c r="L281" s="1"/>
    </row>
    <row r="282" spans="2:12">
      <c r="B282">
        <f>[1]Sheet1!B276</f>
        <v>273</v>
      </c>
      <c r="C282" s="2">
        <f>[1]Sheet1!C276</f>
        <v>2021</v>
      </c>
      <c r="D282" s="2" t="str">
        <f>[1]Sheet1!F276</f>
        <v>Staff Data Scientist</v>
      </c>
      <c r="E282" s="2" t="str">
        <f>[1]Sheet1!Y275</f>
        <v>Senior-Level</v>
      </c>
      <c r="F282" s="2" t="str">
        <f>[1]Sheet1!Q276</f>
        <v>105000 $</v>
      </c>
      <c r="G282" s="3">
        <f>[1]Sheet1!I276</f>
        <v>105000</v>
      </c>
      <c r="H282" s="2" t="str">
        <f>[1]Sheet1!N276</f>
        <v>Contract</v>
      </c>
      <c r="I282" s="2" t="str">
        <f>[1]Sheet1!O276</f>
        <v>Contract</v>
      </c>
      <c r="J282" s="2" t="str">
        <f>[1]Sheet1!R276</f>
        <v>United States</v>
      </c>
      <c r="K282" s="2" t="str">
        <f>[1]Sheet1!S276</f>
        <v>United States</v>
      </c>
      <c r="L282" s="1"/>
    </row>
    <row r="283" spans="2:12">
      <c r="B283">
        <f>[1]Sheet1!B277</f>
        <v>274</v>
      </c>
      <c r="C283" s="2">
        <f>[1]Sheet1!C277</f>
        <v>2021</v>
      </c>
      <c r="D283" s="2" t="str">
        <f>[1]Sheet1!F277</f>
        <v>Research Scientist</v>
      </c>
      <c r="E283" s="2" t="str">
        <f>[1]Sheet1!Y276</f>
        <v>Mid-Level</v>
      </c>
      <c r="F283" s="2" t="str">
        <f>[1]Sheet1!Q277</f>
        <v>69999 $</v>
      </c>
      <c r="G283" s="3">
        <f>[1]Sheet1!I277</f>
        <v>69999</v>
      </c>
      <c r="H283" s="2" t="str">
        <f>[1]Sheet1!N277</f>
        <v>Full-Time</v>
      </c>
      <c r="I283" s="2" t="str">
        <f>[1]Sheet1!O277</f>
        <v>Large</v>
      </c>
      <c r="J283" s="2" t="str">
        <f>[1]Sheet1!R277</f>
        <v>Czech Republic</v>
      </c>
      <c r="K283" s="2" t="str">
        <f>[1]Sheet1!S277</f>
        <v>Czech Republic</v>
      </c>
      <c r="L283" s="1"/>
    </row>
    <row r="284" spans="2:12">
      <c r="B284">
        <f>[1]Sheet1!B278</f>
        <v>275</v>
      </c>
      <c r="C284" s="2">
        <f>[1]Sheet1!C278</f>
        <v>2021</v>
      </c>
      <c r="D284" s="2" t="str">
        <f>[1]Sheet1!F278</f>
        <v>Data Science Manager</v>
      </c>
      <c r="E284" s="2" t="str">
        <f>[1]Sheet1!Y277</f>
        <v>Senior-Level</v>
      </c>
      <c r="F284" s="2" t="str">
        <f>[1]Sheet1!Q278</f>
        <v>7000000 ₹</v>
      </c>
      <c r="G284" s="3">
        <f>[1]Sheet1!I278</f>
        <v>94665</v>
      </c>
      <c r="H284" s="2" t="str">
        <f>[1]Sheet1!N278</f>
        <v>Full-Time</v>
      </c>
      <c r="I284" s="2" t="str">
        <f>[1]Sheet1!O278</f>
        <v>Large</v>
      </c>
      <c r="J284" s="2" t="str">
        <f>[1]Sheet1!R278</f>
        <v>India</v>
      </c>
      <c r="K284" s="2" t="str">
        <f>[1]Sheet1!S278</f>
        <v>India</v>
      </c>
      <c r="L284" s="1"/>
    </row>
    <row r="285" spans="2:12">
      <c r="B285">
        <f>[1]Sheet1!B279</f>
        <v>276</v>
      </c>
      <c r="C285" s="2">
        <f>[1]Sheet1!C279</f>
        <v>2021</v>
      </c>
      <c r="D285" s="2" t="str">
        <f>[1]Sheet1!F279</f>
        <v>Head of Data</v>
      </c>
      <c r="E285" s="2" t="str">
        <f>[1]Sheet1!Y278</f>
        <v>Senior-Level</v>
      </c>
      <c r="F285" s="2" t="str">
        <f>[1]Sheet1!Q279</f>
        <v>87000 €</v>
      </c>
      <c r="G285" s="3">
        <f>[1]Sheet1!I279</f>
        <v>102839</v>
      </c>
      <c r="H285" s="2" t="str">
        <f>[1]Sheet1!N279</f>
        <v>Full-Time</v>
      </c>
      <c r="I285" s="2" t="str">
        <f>[1]Sheet1!O279</f>
        <v>Large</v>
      </c>
      <c r="J285" s="2" t="str">
        <f>[1]Sheet1!R279</f>
        <v>Slovenia</v>
      </c>
      <c r="K285" s="2" t="str">
        <f>[1]Sheet1!S279</f>
        <v>Slovenia</v>
      </c>
      <c r="L285" s="1"/>
    </row>
    <row r="286" spans="2:12">
      <c r="B286">
        <f>[1]Sheet1!B280</f>
        <v>277</v>
      </c>
      <c r="C286" s="2">
        <f>[1]Sheet1!C280</f>
        <v>2021</v>
      </c>
      <c r="D286" s="2" t="str">
        <f>[1]Sheet1!F280</f>
        <v>Data Scientist</v>
      </c>
      <c r="E286" s="2" t="str">
        <f>[1]Sheet1!Y279</f>
        <v>Mid-Level</v>
      </c>
      <c r="F286" s="2" t="str">
        <f>[1]Sheet1!Q280</f>
        <v>109000 $</v>
      </c>
      <c r="G286" s="3">
        <f>[1]Sheet1!I280</f>
        <v>109000</v>
      </c>
      <c r="H286" s="2" t="str">
        <f>[1]Sheet1!N280</f>
        <v>Full-Time</v>
      </c>
      <c r="I286" s="2" t="str">
        <f>[1]Sheet1!O280</f>
        <v>Large</v>
      </c>
      <c r="J286" s="2" t="str">
        <f>[1]Sheet1!R280</f>
        <v>United States</v>
      </c>
      <c r="K286" s="2" t="str">
        <f>[1]Sheet1!S280</f>
        <v>United States</v>
      </c>
      <c r="L286" s="1"/>
    </row>
    <row r="287" spans="2:12">
      <c r="B287">
        <f>[1]Sheet1!B281</f>
        <v>278</v>
      </c>
      <c r="C287" s="2">
        <f>[1]Sheet1!C281</f>
        <v>2021</v>
      </c>
      <c r="D287" s="2" t="str">
        <f>[1]Sheet1!F281</f>
        <v>Machine Learning Engineer</v>
      </c>
      <c r="E287" s="2" t="str">
        <f>[1]Sheet1!Y280</f>
        <v>Mid-Level</v>
      </c>
      <c r="F287" s="2" t="str">
        <f>[1]Sheet1!Q281</f>
        <v>43200 €</v>
      </c>
      <c r="G287" s="3">
        <f>[1]Sheet1!I281</f>
        <v>51064</v>
      </c>
      <c r="H287" s="2" t="str">
        <f>[1]Sheet1!N281</f>
        <v>Full-Time</v>
      </c>
      <c r="I287" s="2" t="str">
        <f>[1]Sheet1!O281</f>
        <v>Large</v>
      </c>
      <c r="J287" s="2" t="str">
        <f>[1]Sheet1!R281</f>
        <v>Italy</v>
      </c>
      <c r="K287" s="2" t="str">
        <f>[1]Sheet1!S281</f>
        <v>Italy</v>
      </c>
      <c r="L287" s="1"/>
    </row>
    <row r="288" spans="2:12">
      <c r="B288">
        <f>[1]Sheet1!B282</f>
        <v>279</v>
      </c>
      <c r="C288" s="2">
        <f>[1]Sheet1!C282</f>
        <v>2022</v>
      </c>
      <c r="D288" s="2" t="str">
        <f>[1]Sheet1!F282</f>
        <v>Data Engineer</v>
      </c>
      <c r="E288" s="2" t="str">
        <f>[1]Sheet1!Y281</f>
        <v>Senior-Level</v>
      </c>
      <c r="F288" s="2" t="str">
        <f>[1]Sheet1!Q282</f>
        <v>135000 $</v>
      </c>
      <c r="G288" s="3">
        <f>[1]Sheet1!I282</f>
        <v>135000</v>
      </c>
      <c r="H288" s="2" t="str">
        <f>[1]Sheet1!N282</f>
        <v>Full-Time</v>
      </c>
      <c r="I288" s="2" t="str">
        <f>[1]Sheet1!O282</f>
        <v>Contract</v>
      </c>
      <c r="J288" s="2" t="str">
        <f>[1]Sheet1!R282</f>
        <v>United States</v>
      </c>
      <c r="K288" s="2" t="str">
        <f>[1]Sheet1!S282</f>
        <v>United States</v>
      </c>
      <c r="L288" s="1"/>
    </row>
    <row r="289" spans="2:12">
      <c r="B289">
        <f>[1]Sheet1!B283</f>
        <v>280</v>
      </c>
      <c r="C289" s="2">
        <f>[1]Sheet1!C283</f>
        <v>2022</v>
      </c>
      <c r="D289" s="2" t="str">
        <f>[1]Sheet1!F283</f>
        <v>Data Analyst</v>
      </c>
      <c r="E289" s="2" t="str">
        <f>[1]Sheet1!Y282</f>
        <v>Senior-Level</v>
      </c>
      <c r="F289" s="2" t="str">
        <f>[1]Sheet1!Q283</f>
        <v>155000 $</v>
      </c>
      <c r="G289" s="3">
        <f>[1]Sheet1!I283</f>
        <v>155000</v>
      </c>
      <c r="H289" s="2" t="str">
        <f>[1]Sheet1!N283</f>
        <v>Full-Time</v>
      </c>
      <c r="I289" s="2" t="str">
        <f>[1]Sheet1!O283</f>
        <v>Contract</v>
      </c>
      <c r="J289" s="2" t="str">
        <f>[1]Sheet1!R283</f>
        <v>United States</v>
      </c>
      <c r="K289" s="2" t="str">
        <f>[1]Sheet1!S283</f>
        <v>United States</v>
      </c>
      <c r="L289" s="1"/>
    </row>
    <row r="290" spans="2:12">
      <c r="B290">
        <f>[1]Sheet1!B284</f>
        <v>281</v>
      </c>
      <c r="C290" s="2">
        <f>[1]Sheet1!C284</f>
        <v>2022</v>
      </c>
      <c r="D290" s="2" t="str">
        <f>[1]Sheet1!F284</f>
        <v>Data Analyst</v>
      </c>
      <c r="E290" s="2" t="str">
        <f>[1]Sheet1!Y283</f>
        <v>Senior-Level</v>
      </c>
      <c r="F290" s="2" t="str">
        <f>[1]Sheet1!Q284</f>
        <v>120600 $</v>
      </c>
      <c r="G290" s="3">
        <f>[1]Sheet1!I284</f>
        <v>120600</v>
      </c>
      <c r="H290" s="2" t="str">
        <f>[1]Sheet1!N284</f>
        <v>Full-Time</v>
      </c>
      <c r="I290" s="2" t="str">
        <f>[1]Sheet1!O284</f>
        <v>Contract</v>
      </c>
      <c r="J290" s="2" t="str">
        <f>[1]Sheet1!R284</f>
        <v>United States</v>
      </c>
      <c r="K290" s="2" t="str">
        <f>[1]Sheet1!S284</f>
        <v>United States</v>
      </c>
      <c r="L290" s="1"/>
    </row>
    <row r="291" spans="2:12">
      <c r="B291">
        <f>[1]Sheet1!B285</f>
        <v>282</v>
      </c>
      <c r="C291" s="2">
        <f>[1]Sheet1!C285</f>
        <v>2022</v>
      </c>
      <c r="D291" s="2" t="str">
        <f>[1]Sheet1!F285</f>
        <v>Data Engineer</v>
      </c>
      <c r="E291" s="2" t="str">
        <f>[1]Sheet1!Y284</f>
        <v>Mid-Level</v>
      </c>
      <c r="F291" s="2" t="str">
        <f>[1]Sheet1!Q285</f>
        <v>170000 $</v>
      </c>
      <c r="G291" s="3">
        <f>[1]Sheet1!I285</f>
        <v>170000</v>
      </c>
      <c r="H291" s="2" t="str">
        <f>[1]Sheet1!N285</f>
        <v>Full-Time</v>
      </c>
      <c r="I291" s="2" t="str">
        <f>[1]Sheet1!O285</f>
        <v>Contract</v>
      </c>
      <c r="J291" s="2" t="str">
        <f>[1]Sheet1!R285</f>
        <v>United States</v>
      </c>
      <c r="K291" s="2" t="str">
        <f>[1]Sheet1!S285</f>
        <v>United States</v>
      </c>
      <c r="L291" s="1"/>
    </row>
    <row r="292" spans="2:12">
      <c r="B292">
        <f>[1]Sheet1!B286</f>
        <v>283</v>
      </c>
      <c r="C292" s="2">
        <f>[1]Sheet1!C286</f>
        <v>2022</v>
      </c>
      <c r="D292" s="2" t="str">
        <f>[1]Sheet1!F286</f>
        <v>Data Analyst</v>
      </c>
      <c r="E292" s="2" t="str">
        <f>[1]Sheet1!Y285</f>
        <v>Senior-Level</v>
      </c>
      <c r="F292" s="2" t="str">
        <f>[1]Sheet1!Q286</f>
        <v>102100 $</v>
      </c>
      <c r="G292" s="3">
        <f>[1]Sheet1!I286</f>
        <v>102100</v>
      </c>
      <c r="H292" s="2" t="str">
        <f>[1]Sheet1!N286</f>
        <v>Full-Time</v>
      </c>
      <c r="I292" s="2" t="str">
        <f>[1]Sheet1!O286</f>
        <v>Contract</v>
      </c>
      <c r="J292" s="2" t="str">
        <f>[1]Sheet1!R286</f>
        <v>United States</v>
      </c>
      <c r="K292" s="2" t="str">
        <f>[1]Sheet1!S286</f>
        <v>United States</v>
      </c>
      <c r="L292" s="1"/>
    </row>
    <row r="293" spans="2:12">
      <c r="B293">
        <f>[1]Sheet1!B287</f>
        <v>284</v>
      </c>
      <c r="C293" s="2">
        <f>[1]Sheet1!C287</f>
        <v>2022</v>
      </c>
      <c r="D293" s="2" t="str">
        <f>[1]Sheet1!F287</f>
        <v>Data Analyst</v>
      </c>
      <c r="E293" s="2" t="str">
        <f>[1]Sheet1!Y286</f>
        <v>Senior-Level</v>
      </c>
      <c r="F293" s="2" t="str">
        <f>[1]Sheet1!Q287</f>
        <v>84900 $</v>
      </c>
      <c r="G293" s="3">
        <f>[1]Sheet1!I287</f>
        <v>84900</v>
      </c>
      <c r="H293" s="2" t="str">
        <f>[1]Sheet1!N287</f>
        <v>Full-Time</v>
      </c>
      <c r="I293" s="2" t="str">
        <f>[1]Sheet1!O287</f>
        <v>Contract</v>
      </c>
      <c r="J293" s="2" t="str">
        <f>[1]Sheet1!R287</f>
        <v>United States</v>
      </c>
      <c r="K293" s="2" t="str">
        <f>[1]Sheet1!S287</f>
        <v>United States</v>
      </c>
      <c r="L293" s="1"/>
    </row>
    <row r="294" spans="2:12">
      <c r="B294">
        <f>[1]Sheet1!B288</f>
        <v>285</v>
      </c>
      <c r="C294" s="2">
        <f>[1]Sheet1!C288</f>
        <v>2022</v>
      </c>
      <c r="D294" s="2" t="str">
        <f>[1]Sheet1!F288</f>
        <v>Data Scientist</v>
      </c>
      <c r="E294" s="2" t="str">
        <f>[1]Sheet1!Y287</f>
        <v>Senior-Level</v>
      </c>
      <c r="F294" s="2" t="str">
        <f>[1]Sheet1!Q288</f>
        <v>136620 $</v>
      </c>
      <c r="G294" s="3">
        <f>[1]Sheet1!I288</f>
        <v>136620</v>
      </c>
      <c r="H294" s="2" t="str">
        <f>[1]Sheet1!N288</f>
        <v>Full-Time</v>
      </c>
      <c r="I294" s="2" t="str">
        <f>[1]Sheet1!O288</f>
        <v>Contract</v>
      </c>
      <c r="J294" s="2" t="str">
        <f>[1]Sheet1!R288</f>
        <v>United States</v>
      </c>
      <c r="K294" s="2" t="str">
        <f>[1]Sheet1!S288</f>
        <v>United States</v>
      </c>
      <c r="L294" s="1"/>
    </row>
    <row r="295" spans="2:12">
      <c r="B295">
        <f>[1]Sheet1!B289</f>
        <v>286</v>
      </c>
      <c r="C295" s="2">
        <f>[1]Sheet1!C289</f>
        <v>2022</v>
      </c>
      <c r="D295" s="2" t="str">
        <f>[1]Sheet1!F289</f>
        <v>Data Scientist</v>
      </c>
      <c r="E295" s="2" t="str">
        <f>[1]Sheet1!Y288</f>
        <v>Senior-Level</v>
      </c>
      <c r="F295" s="2" t="str">
        <f>[1]Sheet1!Q289</f>
        <v>99360 $</v>
      </c>
      <c r="G295" s="3">
        <f>[1]Sheet1!I289</f>
        <v>99360</v>
      </c>
      <c r="H295" s="2" t="str">
        <f>[1]Sheet1!N289</f>
        <v>Full-Time</v>
      </c>
      <c r="I295" s="2" t="str">
        <f>[1]Sheet1!O289</f>
        <v>Contract</v>
      </c>
      <c r="J295" s="2" t="str">
        <f>[1]Sheet1!R289</f>
        <v>United States</v>
      </c>
      <c r="K295" s="2" t="str">
        <f>[1]Sheet1!S289</f>
        <v>United States</v>
      </c>
      <c r="L295" s="1"/>
    </row>
    <row r="296" spans="2:12">
      <c r="B296">
        <f>[1]Sheet1!B290</f>
        <v>287</v>
      </c>
      <c r="C296" s="2">
        <f>[1]Sheet1!C290</f>
        <v>2022</v>
      </c>
      <c r="D296" s="2" t="str">
        <f>[1]Sheet1!F290</f>
        <v>Data Scientist</v>
      </c>
      <c r="E296" s="2" t="str">
        <f>[1]Sheet1!Y289</f>
        <v>Senior-Level</v>
      </c>
      <c r="F296" s="2" t="str">
        <f>[1]Sheet1!Q290</f>
        <v>90000 £</v>
      </c>
      <c r="G296" s="3">
        <f>[1]Sheet1!I290</f>
        <v>117789</v>
      </c>
      <c r="H296" s="2" t="str">
        <f>[1]Sheet1!N290</f>
        <v>Full-Time</v>
      </c>
      <c r="I296" s="2" t="str">
        <f>[1]Sheet1!O290</f>
        <v>Contract</v>
      </c>
      <c r="J296" s="2" t="str">
        <f>[1]Sheet1!R290</f>
        <v>United Kingdom</v>
      </c>
      <c r="K296" s="2" t="str">
        <f>[1]Sheet1!S290</f>
        <v>United Kingdom</v>
      </c>
      <c r="L296" s="1"/>
    </row>
    <row r="297" spans="2:12">
      <c r="B297">
        <f>[1]Sheet1!B291</f>
        <v>288</v>
      </c>
      <c r="C297" s="2">
        <f>[1]Sheet1!C291</f>
        <v>2022</v>
      </c>
      <c r="D297" s="2" t="str">
        <f>[1]Sheet1!F291</f>
        <v>Data Scientist</v>
      </c>
      <c r="E297" s="2" t="str">
        <f>[1]Sheet1!Y290</f>
        <v>Senior-Level</v>
      </c>
      <c r="F297" s="2" t="str">
        <f>[1]Sheet1!Q291</f>
        <v>80000 £</v>
      </c>
      <c r="G297" s="3">
        <f>[1]Sheet1!I291</f>
        <v>104702</v>
      </c>
      <c r="H297" s="2" t="str">
        <f>[1]Sheet1!N291</f>
        <v>Full-Time</v>
      </c>
      <c r="I297" s="2" t="str">
        <f>[1]Sheet1!O291</f>
        <v>Contract</v>
      </c>
      <c r="J297" s="2" t="str">
        <f>[1]Sheet1!R291</f>
        <v>United Kingdom</v>
      </c>
      <c r="K297" s="2" t="str">
        <f>[1]Sheet1!S291</f>
        <v>United Kingdom</v>
      </c>
      <c r="L297" s="1"/>
    </row>
    <row r="298" spans="2:12">
      <c r="B298">
        <f>[1]Sheet1!B292</f>
        <v>289</v>
      </c>
      <c r="C298" s="2">
        <f>[1]Sheet1!C292</f>
        <v>2022</v>
      </c>
      <c r="D298" s="2" t="str">
        <f>[1]Sheet1!F292</f>
        <v>Data Scientist</v>
      </c>
      <c r="E298" s="2" t="str">
        <f>[1]Sheet1!Y291</f>
        <v>Senior-Level</v>
      </c>
      <c r="F298" s="2" t="str">
        <f>[1]Sheet1!Q292</f>
        <v>146000 $</v>
      </c>
      <c r="G298" s="3">
        <f>[1]Sheet1!I292</f>
        <v>146000</v>
      </c>
      <c r="H298" s="2" t="str">
        <f>[1]Sheet1!N292</f>
        <v>Full-Time</v>
      </c>
      <c r="I298" s="2" t="str">
        <f>[1]Sheet1!O292</f>
        <v>Contract</v>
      </c>
      <c r="J298" s="2" t="str">
        <f>[1]Sheet1!R292</f>
        <v>United States</v>
      </c>
      <c r="K298" s="2" t="str">
        <f>[1]Sheet1!S292</f>
        <v>United States</v>
      </c>
      <c r="L298" s="1"/>
    </row>
    <row r="299" spans="2:12">
      <c r="B299">
        <f>[1]Sheet1!B293</f>
        <v>290</v>
      </c>
      <c r="C299" s="2">
        <f>[1]Sheet1!C293</f>
        <v>2022</v>
      </c>
      <c r="D299" s="2" t="str">
        <f>[1]Sheet1!F293</f>
        <v>Data Scientist</v>
      </c>
      <c r="E299" s="2" t="str">
        <f>[1]Sheet1!Y292</f>
        <v>Senior-Level</v>
      </c>
      <c r="F299" s="2" t="str">
        <f>[1]Sheet1!Q293</f>
        <v>123000 $</v>
      </c>
      <c r="G299" s="3">
        <f>[1]Sheet1!I293</f>
        <v>123000</v>
      </c>
      <c r="H299" s="2" t="str">
        <f>[1]Sheet1!N293</f>
        <v>Full-Time</v>
      </c>
      <c r="I299" s="2" t="str">
        <f>[1]Sheet1!O293</f>
        <v>Contract</v>
      </c>
      <c r="J299" s="2" t="str">
        <f>[1]Sheet1!R293</f>
        <v>United States</v>
      </c>
      <c r="K299" s="2" t="str">
        <f>[1]Sheet1!S293</f>
        <v>United States</v>
      </c>
      <c r="L299" s="1"/>
    </row>
    <row r="300" spans="2:12">
      <c r="B300">
        <f>[1]Sheet1!B294</f>
        <v>291</v>
      </c>
      <c r="C300" s="2">
        <f>[1]Sheet1!C294</f>
        <v>2022</v>
      </c>
      <c r="D300" s="2" t="str">
        <f>[1]Sheet1!F294</f>
        <v>Data Engineer</v>
      </c>
      <c r="E300" s="2" t="str">
        <f>[1]Sheet1!Y293</f>
        <v>Entry-Level</v>
      </c>
      <c r="F300" s="2" t="str">
        <f>[1]Sheet1!Q294</f>
        <v>40000 £</v>
      </c>
      <c r="G300" s="3">
        <f>[1]Sheet1!I294</f>
        <v>52351</v>
      </c>
      <c r="H300" s="2" t="str">
        <f>[1]Sheet1!N294</f>
        <v>Full-Time</v>
      </c>
      <c r="I300" s="2" t="str">
        <f>[1]Sheet1!O294</f>
        <v>Contract</v>
      </c>
      <c r="J300" s="2" t="str">
        <f>[1]Sheet1!R294</f>
        <v>United Kingdom</v>
      </c>
      <c r="K300" s="2" t="str">
        <f>[1]Sheet1!S294</f>
        <v>United Kingdom</v>
      </c>
      <c r="L300" s="1"/>
    </row>
    <row r="301" spans="2:12">
      <c r="B301">
        <f>[1]Sheet1!B295</f>
        <v>292</v>
      </c>
      <c r="C301" s="2">
        <f>[1]Sheet1!C295</f>
        <v>2022</v>
      </c>
      <c r="D301" s="2" t="str">
        <f>[1]Sheet1!F295</f>
        <v>Data Analyst</v>
      </c>
      <c r="E301" s="2" t="str">
        <f>[1]Sheet1!Y294</f>
        <v>Senior-Level</v>
      </c>
      <c r="F301" s="2" t="str">
        <f>[1]Sheet1!Q295</f>
        <v>99000 $</v>
      </c>
      <c r="G301" s="3">
        <f>[1]Sheet1!I295</f>
        <v>99000</v>
      </c>
      <c r="H301" s="2" t="str">
        <f>[1]Sheet1!N295</f>
        <v>Full-Time</v>
      </c>
      <c r="I301" s="2" t="str">
        <f>[1]Sheet1!O295</f>
        <v>Contract</v>
      </c>
      <c r="J301" s="2" t="str">
        <f>[1]Sheet1!R295</f>
        <v>United States</v>
      </c>
      <c r="K301" s="2" t="str">
        <f>[1]Sheet1!S295</f>
        <v>United States</v>
      </c>
      <c r="L301" s="1"/>
    </row>
    <row r="302" spans="2:12">
      <c r="B302">
        <f>[1]Sheet1!B296</f>
        <v>293</v>
      </c>
      <c r="C302" s="2">
        <f>[1]Sheet1!C296</f>
        <v>2022</v>
      </c>
      <c r="D302" s="2" t="str">
        <f>[1]Sheet1!F296</f>
        <v>Data Analyst</v>
      </c>
      <c r="E302" s="2" t="str">
        <f>[1]Sheet1!Y295</f>
        <v>Senior-Level</v>
      </c>
      <c r="F302" s="2" t="str">
        <f>[1]Sheet1!Q296</f>
        <v>116000 $</v>
      </c>
      <c r="G302" s="3">
        <f>[1]Sheet1!I296</f>
        <v>116000</v>
      </c>
      <c r="H302" s="2" t="str">
        <f>[1]Sheet1!N296</f>
        <v>Full-Time</v>
      </c>
      <c r="I302" s="2" t="str">
        <f>[1]Sheet1!O296</f>
        <v>Contract</v>
      </c>
      <c r="J302" s="2" t="str">
        <f>[1]Sheet1!R296</f>
        <v>United States</v>
      </c>
      <c r="K302" s="2" t="str">
        <f>[1]Sheet1!S296</f>
        <v>United States</v>
      </c>
      <c r="L302" s="1"/>
    </row>
    <row r="303" spans="2:12">
      <c r="B303">
        <f>[1]Sheet1!B297</f>
        <v>294</v>
      </c>
      <c r="C303" s="2">
        <f>[1]Sheet1!C297</f>
        <v>2022</v>
      </c>
      <c r="D303" s="2" t="str">
        <f>[1]Sheet1!F297</f>
        <v>Data Analyst</v>
      </c>
      <c r="E303" s="2" t="str">
        <f>[1]Sheet1!Y296</f>
        <v>Mid-Level</v>
      </c>
      <c r="F303" s="2" t="str">
        <f>[1]Sheet1!Q297</f>
        <v>106260 $</v>
      </c>
      <c r="G303" s="3">
        <f>[1]Sheet1!I297</f>
        <v>106260</v>
      </c>
      <c r="H303" s="2" t="str">
        <f>[1]Sheet1!N297</f>
        <v>Full-Time</v>
      </c>
      <c r="I303" s="2" t="str">
        <f>[1]Sheet1!O297</f>
        <v>Contract</v>
      </c>
      <c r="J303" s="2" t="str">
        <f>[1]Sheet1!R297</f>
        <v>United States</v>
      </c>
      <c r="K303" s="2" t="str">
        <f>[1]Sheet1!S297</f>
        <v>United States</v>
      </c>
      <c r="L303" s="1"/>
    </row>
    <row r="304" spans="2:12">
      <c r="B304">
        <f>[1]Sheet1!B298</f>
        <v>295</v>
      </c>
      <c r="C304" s="2">
        <f>[1]Sheet1!C298</f>
        <v>2022</v>
      </c>
      <c r="D304" s="2" t="str">
        <f>[1]Sheet1!F298</f>
        <v>Data Analyst</v>
      </c>
      <c r="E304" s="2" t="str">
        <f>[1]Sheet1!Y297</f>
        <v>Mid-Level</v>
      </c>
      <c r="F304" s="2" t="str">
        <f>[1]Sheet1!Q298</f>
        <v>126500 $</v>
      </c>
      <c r="G304" s="3">
        <f>[1]Sheet1!I298</f>
        <v>126500</v>
      </c>
      <c r="H304" s="2" t="str">
        <f>[1]Sheet1!N298</f>
        <v>Full-Time</v>
      </c>
      <c r="I304" s="2" t="str">
        <f>[1]Sheet1!O298</f>
        <v>Contract</v>
      </c>
      <c r="J304" s="2" t="str">
        <f>[1]Sheet1!R298</f>
        <v>United States</v>
      </c>
      <c r="K304" s="2" t="str">
        <f>[1]Sheet1!S298</f>
        <v>United States</v>
      </c>
      <c r="L304" s="1"/>
    </row>
    <row r="305" spans="2:12">
      <c r="B305">
        <f>[1]Sheet1!B299</f>
        <v>296</v>
      </c>
      <c r="C305" s="2">
        <f>[1]Sheet1!C299</f>
        <v>2022</v>
      </c>
      <c r="D305" s="2" t="str">
        <f>[1]Sheet1!F299</f>
        <v>Data Engineer</v>
      </c>
      <c r="E305" s="2" t="str">
        <f>[1]Sheet1!Y298</f>
        <v>Executive</v>
      </c>
      <c r="F305" s="2" t="str">
        <f>[1]Sheet1!Q299</f>
        <v>242000 $</v>
      </c>
      <c r="G305" s="3">
        <f>[1]Sheet1!I299</f>
        <v>242000</v>
      </c>
      <c r="H305" s="2" t="str">
        <f>[1]Sheet1!N299</f>
        <v>Full-Time</v>
      </c>
      <c r="I305" s="2" t="str">
        <f>[1]Sheet1!O299</f>
        <v>Contract</v>
      </c>
      <c r="J305" s="2" t="str">
        <f>[1]Sheet1!R299</f>
        <v>United States</v>
      </c>
      <c r="K305" s="2" t="str">
        <f>[1]Sheet1!S299</f>
        <v>United States</v>
      </c>
      <c r="L305" s="1"/>
    </row>
    <row r="306" spans="2:12">
      <c r="B306">
        <f>[1]Sheet1!B300</f>
        <v>297</v>
      </c>
      <c r="C306" s="2">
        <f>[1]Sheet1!C300</f>
        <v>2022</v>
      </c>
      <c r="D306" s="2" t="str">
        <f>[1]Sheet1!F300</f>
        <v>Data Scientist</v>
      </c>
      <c r="E306" s="2" t="str">
        <f>[1]Sheet1!Y299</f>
        <v>Mid-Level</v>
      </c>
      <c r="F306" s="2" t="str">
        <f>[1]Sheet1!Q300</f>
        <v>50000 £</v>
      </c>
      <c r="G306" s="3">
        <f>[1]Sheet1!I300</f>
        <v>65438</v>
      </c>
      <c r="H306" s="2" t="str">
        <f>[1]Sheet1!N300</f>
        <v>Full-Time</v>
      </c>
      <c r="I306" s="2" t="str">
        <f>[1]Sheet1!O300</f>
        <v>Contract</v>
      </c>
      <c r="J306" s="2" t="str">
        <f>[1]Sheet1!R300</f>
        <v>United Kingdom</v>
      </c>
      <c r="K306" s="2" t="str">
        <f>[1]Sheet1!S300</f>
        <v>United Kingdom</v>
      </c>
      <c r="L306" s="1"/>
    </row>
    <row r="307" spans="2:12">
      <c r="B307">
        <f>[1]Sheet1!B301</f>
        <v>298</v>
      </c>
      <c r="C307" s="2">
        <f>[1]Sheet1!C301</f>
        <v>2022</v>
      </c>
      <c r="D307" s="2" t="str">
        <f>[1]Sheet1!F301</f>
        <v>Data Scientist</v>
      </c>
      <c r="E307" s="2" t="str">
        <f>[1]Sheet1!Y300</f>
        <v>Mid-Level</v>
      </c>
      <c r="F307" s="2" t="str">
        <f>[1]Sheet1!Q301</f>
        <v>30000 £</v>
      </c>
      <c r="G307" s="3">
        <f>[1]Sheet1!I301</f>
        <v>39263</v>
      </c>
      <c r="H307" s="2" t="str">
        <f>[1]Sheet1!N301</f>
        <v>Full-Time</v>
      </c>
      <c r="I307" s="2" t="str">
        <f>[1]Sheet1!O301</f>
        <v>Contract</v>
      </c>
      <c r="J307" s="2" t="str">
        <f>[1]Sheet1!R301</f>
        <v>United Kingdom</v>
      </c>
      <c r="K307" s="2" t="str">
        <f>[1]Sheet1!S301</f>
        <v>United Kingdom</v>
      </c>
      <c r="L307" s="1"/>
    </row>
    <row r="308" spans="2:12">
      <c r="B308">
        <f>[1]Sheet1!B302</f>
        <v>299</v>
      </c>
      <c r="C308" s="2">
        <f>[1]Sheet1!C302</f>
        <v>2022</v>
      </c>
      <c r="D308" s="2" t="str">
        <f>[1]Sheet1!F302</f>
        <v>Data Scientist</v>
      </c>
      <c r="E308" s="2" t="str">
        <f>[1]Sheet1!Y301</f>
        <v>Senior-Level</v>
      </c>
      <c r="F308" s="2" t="str">
        <f>[1]Sheet1!Q302</f>
        <v>165220 $</v>
      </c>
      <c r="G308" s="3">
        <f>[1]Sheet1!I302</f>
        <v>165220</v>
      </c>
      <c r="H308" s="2" t="str">
        <f>[1]Sheet1!N302</f>
        <v>Full-Time</v>
      </c>
      <c r="I308" s="2" t="str">
        <f>[1]Sheet1!O302</f>
        <v>Contract</v>
      </c>
      <c r="J308" s="2" t="str">
        <f>[1]Sheet1!R302</f>
        <v>United States</v>
      </c>
      <c r="K308" s="2" t="str">
        <f>[1]Sheet1!S302</f>
        <v>United States</v>
      </c>
      <c r="L308" s="1"/>
    </row>
    <row r="309" spans="2:12">
      <c r="B309">
        <f>[1]Sheet1!B303</f>
        <v>300</v>
      </c>
      <c r="C309" s="2">
        <f>[1]Sheet1!C303</f>
        <v>2022</v>
      </c>
      <c r="D309" s="2" t="str">
        <f>[1]Sheet1!F303</f>
        <v>Data Engineer</v>
      </c>
      <c r="E309" s="2" t="str">
        <f>[1]Sheet1!Y302</f>
        <v>Entry-Level</v>
      </c>
      <c r="F309" s="2" t="str">
        <f>[1]Sheet1!Q303</f>
        <v>35000 £</v>
      </c>
      <c r="G309" s="3">
        <f>[1]Sheet1!I303</f>
        <v>45807</v>
      </c>
      <c r="H309" s="2" t="str">
        <f>[1]Sheet1!N303</f>
        <v>Full-Time</v>
      </c>
      <c r="I309" s="2" t="str">
        <f>[1]Sheet1!O303</f>
        <v>Contract</v>
      </c>
      <c r="J309" s="2" t="str">
        <f>[1]Sheet1!R303</f>
        <v>United Kingdom</v>
      </c>
      <c r="K309" s="2" t="str">
        <f>[1]Sheet1!S303</f>
        <v>United Kingdom</v>
      </c>
      <c r="L309" s="1"/>
    </row>
    <row r="310" spans="2:12">
      <c r="B310">
        <f>[1]Sheet1!B304</f>
        <v>301</v>
      </c>
      <c r="C310" s="2">
        <f>[1]Sheet1!C304</f>
        <v>2022</v>
      </c>
      <c r="D310" s="2" t="str">
        <f>[1]Sheet1!F304</f>
        <v>Data Scientist</v>
      </c>
      <c r="E310" s="2" t="str">
        <f>[1]Sheet1!Y303</f>
        <v>Senior-Level</v>
      </c>
      <c r="F310" s="2" t="str">
        <f>[1]Sheet1!Q304</f>
        <v>120160 $</v>
      </c>
      <c r="G310" s="3">
        <f>[1]Sheet1!I304</f>
        <v>120160</v>
      </c>
      <c r="H310" s="2" t="str">
        <f>[1]Sheet1!N304</f>
        <v>Full-Time</v>
      </c>
      <c r="I310" s="2" t="str">
        <f>[1]Sheet1!O304</f>
        <v>Contract</v>
      </c>
      <c r="J310" s="2" t="str">
        <f>[1]Sheet1!R304</f>
        <v>United States</v>
      </c>
      <c r="K310" s="2" t="str">
        <f>[1]Sheet1!S304</f>
        <v>United States</v>
      </c>
      <c r="L310" s="1"/>
    </row>
    <row r="311" spans="2:12">
      <c r="B311">
        <f>[1]Sheet1!B305</f>
        <v>302</v>
      </c>
      <c r="C311" s="2">
        <f>[1]Sheet1!C305</f>
        <v>2022</v>
      </c>
      <c r="D311" s="2" t="str">
        <f>[1]Sheet1!F305</f>
        <v>Data Analyst</v>
      </c>
      <c r="E311" s="2" t="str">
        <f>[1]Sheet1!Y304</f>
        <v>Senior-Level</v>
      </c>
      <c r="F311" s="2" t="str">
        <f>[1]Sheet1!Q305</f>
        <v>90320 $</v>
      </c>
      <c r="G311" s="3">
        <f>[1]Sheet1!I305</f>
        <v>90320</v>
      </c>
      <c r="H311" s="2" t="str">
        <f>[1]Sheet1!N305</f>
        <v>Full-Time</v>
      </c>
      <c r="I311" s="2" t="str">
        <f>[1]Sheet1!O305</f>
        <v>Contract</v>
      </c>
      <c r="J311" s="2" t="str">
        <f>[1]Sheet1!R305</f>
        <v>United States</v>
      </c>
      <c r="K311" s="2" t="str">
        <f>[1]Sheet1!S305</f>
        <v>United States</v>
      </c>
      <c r="L311" s="1"/>
    </row>
    <row r="312" spans="2:12">
      <c r="B312">
        <f>[1]Sheet1!B306</f>
        <v>303</v>
      </c>
      <c r="C312" s="2">
        <f>[1]Sheet1!C306</f>
        <v>2022</v>
      </c>
      <c r="D312" s="2" t="str">
        <f>[1]Sheet1!F306</f>
        <v>Data Engineer</v>
      </c>
      <c r="E312" s="2" t="str">
        <f>[1]Sheet1!Y305</f>
        <v>Senior-Level</v>
      </c>
      <c r="F312" s="2" t="str">
        <f>[1]Sheet1!Q306</f>
        <v>181940 $</v>
      </c>
      <c r="G312" s="3">
        <f>[1]Sheet1!I306</f>
        <v>181940</v>
      </c>
      <c r="H312" s="2" t="str">
        <f>[1]Sheet1!N306</f>
        <v>Full-Time</v>
      </c>
      <c r="I312" s="2" t="str">
        <f>[1]Sheet1!O306</f>
        <v>Contract</v>
      </c>
      <c r="J312" s="2" t="str">
        <f>[1]Sheet1!R306</f>
        <v>United States</v>
      </c>
      <c r="K312" s="2" t="str">
        <f>[1]Sheet1!S306</f>
        <v>United States</v>
      </c>
      <c r="L312" s="1"/>
    </row>
    <row r="313" spans="2:12">
      <c r="B313">
        <f>[1]Sheet1!B307</f>
        <v>304</v>
      </c>
      <c r="C313" s="2">
        <f>[1]Sheet1!C307</f>
        <v>2022</v>
      </c>
      <c r="D313" s="2" t="str">
        <f>[1]Sheet1!F307</f>
        <v>Data Engineer</v>
      </c>
      <c r="E313" s="2" t="str">
        <f>[1]Sheet1!Y306</f>
        <v>Senior-Level</v>
      </c>
      <c r="F313" s="2" t="str">
        <f>[1]Sheet1!Q307</f>
        <v>132320 $</v>
      </c>
      <c r="G313" s="3">
        <f>[1]Sheet1!I307</f>
        <v>132320</v>
      </c>
      <c r="H313" s="2" t="str">
        <f>[1]Sheet1!N307</f>
        <v>Full-Time</v>
      </c>
      <c r="I313" s="2" t="str">
        <f>[1]Sheet1!O307</f>
        <v>Contract</v>
      </c>
      <c r="J313" s="2" t="str">
        <f>[1]Sheet1!R307</f>
        <v>United States</v>
      </c>
      <c r="K313" s="2" t="str">
        <f>[1]Sheet1!S307</f>
        <v>United States</v>
      </c>
      <c r="L313" s="1"/>
    </row>
    <row r="314" spans="2:12">
      <c r="B314">
        <f>[1]Sheet1!B308</f>
        <v>305</v>
      </c>
      <c r="C314" s="2">
        <f>[1]Sheet1!C308</f>
        <v>2022</v>
      </c>
      <c r="D314" s="2" t="str">
        <f>[1]Sheet1!F308</f>
        <v>Data Engineer</v>
      </c>
      <c r="E314" s="2" t="str">
        <f>[1]Sheet1!Y307</f>
        <v>Senior-Level</v>
      </c>
      <c r="F314" s="2" t="str">
        <f>[1]Sheet1!Q308</f>
        <v>220110 $</v>
      </c>
      <c r="G314" s="3">
        <f>[1]Sheet1!I308</f>
        <v>220110</v>
      </c>
      <c r="H314" s="2" t="str">
        <f>[1]Sheet1!N308</f>
        <v>Full-Time</v>
      </c>
      <c r="I314" s="2" t="str">
        <f>[1]Sheet1!O308</f>
        <v>Contract</v>
      </c>
      <c r="J314" s="2" t="str">
        <f>[1]Sheet1!R308</f>
        <v>United States</v>
      </c>
      <c r="K314" s="2" t="str">
        <f>[1]Sheet1!S308</f>
        <v>United States</v>
      </c>
      <c r="L314" s="1"/>
    </row>
    <row r="315" spans="2:12">
      <c r="B315">
        <f>[1]Sheet1!B309</f>
        <v>306</v>
      </c>
      <c r="C315" s="2">
        <f>[1]Sheet1!C309</f>
        <v>2022</v>
      </c>
      <c r="D315" s="2" t="str">
        <f>[1]Sheet1!F309</f>
        <v>Data Engineer</v>
      </c>
      <c r="E315" s="2" t="str">
        <f>[1]Sheet1!Y308</f>
        <v>Senior-Level</v>
      </c>
      <c r="F315" s="2" t="str">
        <f>[1]Sheet1!Q309</f>
        <v>160080 $</v>
      </c>
      <c r="G315" s="3">
        <f>[1]Sheet1!I309</f>
        <v>160080</v>
      </c>
      <c r="H315" s="2" t="str">
        <f>[1]Sheet1!N309</f>
        <v>Full-Time</v>
      </c>
      <c r="I315" s="2" t="str">
        <f>[1]Sheet1!O309</f>
        <v>Contract</v>
      </c>
      <c r="J315" s="2" t="str">
        <f>[1]Sheet1!R309</f>
        <v>United States</v>
      </c>
      <c r="K315" s="2" t="str">
        <f>[1]Sheet1!S309</f>
        <v>United States</v>
      </c>
      <c r="L315" s="1"/>
    </row>
    <row r="316" spans="2:12">
      <c r="B316">
        <f>[1]Sheet1!B310</f>
        <v>307</v>
      </c>
      <c r="C316" s="2">
        <f>[1]Sheet1!C310</f>
        <v>2022</v>
      </c>
      <c r="D316" s="2" t="str">
        <f>[1]Sheet1!F310</f>
        <v>Data Scientist</v>
      </c>
      <c r="E316" s="2" t="str">
        <f>[1]Sheet1!Y309</f>
        <v>Senior-Level</v>
      </c>
      <c r="F316" s="2" t="str">
        <f>[1]Sheet1!Q310</f>
        <v>180000 $</v>
      </c>
      <c r="G316" s="3">
        <f>[1]Sheet1!I310</f>
        <v>180000</v>
      </c>
      <c r="H316" s="2" t="str">
        <f>[1]Sheet1!N310</f>
        <v>Full-Time</v>
      </c>
      <c r="I316" s="2" t="str">
        <f>[1]Sheet1!O310</f>
        <v>Large</v>
      </c>
      <c r="J316" s="2" t="str">
        <f>[1]Sheet1!R310</f>
        <v>United States</v>
      </c>
      <c r="K316" s="2" t="str">
        <f>[1]Sheet1!S310</f>
        <v>United States</v>
      </c>
      <c r="L316" s="1"/>
    </row>
    <row r="317" spans="2:12">
      <c r="B317">
        <f>[1]Sheet1!B311</f>
        <v>308</v>
      </c>
      <c r="C317" s="2">
        <f>[1]Sheet1!C311</f>
        <v>2022</v>
      </c>
      <c r="D317" s="2" t="str">
        <f>[1]Sheet1!F311</f>
        <v>Data Analyst</v>
      </c>
      <c r="E317" s="2" t="str">
        <f>[1]Sheet1!Y310</f>
        <v>Senior-Level</v>
      </c>
      <c r="F317" s="2" t="str">
        <f>[1]Sheet1!Q311</f>
        <v>124190 $</v>
      </c>
      <c r="G317" s="3">
        <f>[1]Sheet1!I311</f>
        <v>124190</v>
      </c>
      <c r="H317" s="2" t="str">
        <f>[1]Sheet1!N311</f>
        <v>Full-Time</v>
      </c>
      <c r="I317" s="2" t="str">
        <f>[1]Sheet1!O311</f>
        <v>Contract</v>
      </c>
      <c r="J317" s="2" t="str">
        <f>[1]Sheet1!R311</f>
        <v>United States</v>
      </c>
      <c r="K317" s="2" t="str">
        <f>[1]Sheet1!S311</f>
        <v>United States</v>
      </c>
      <c r="L317" s="1"/>
    </row>
    <row r="318" spans="2:12">
      <c r="B318">
        <f>[1]Sheet1!B312</f>
        <v>309</v>
      </c>
      <c r="C318" s="2">
        <f>[1]Sheet1!C312</f>
        <v>2022</v>
      </c>
      <c r="D318" s="2" t="str">
        <f>[1]Sheet1!F312</f>
        <v>Data Analyst</v>
      </c>
      <c r="E318" s="2" t="str">
        <f>[1]Sheet1!Y311</f>
        <v>Executive</v>
      </c>
      <c r="F318" s="2" t="str">
        <f>[1]Sheet1!Q312</f>
        <v>130000 $</v>
      </c>
      <c r="G318" s="3">
        <f>[1]Sheet1!I312</f>
        <v>130000</v>
      </c>
      <c r="H318" s="2" t="str">
        <f>[1]Sheet1!N312</f>
        <v>Full-Time</v>
      </c>
      <c r="I318" s="2" t="str">
        <f>[1]Sheet1!O312</f>
        <v>Contract</v>
      </c>
      <c r="J318" s="2" t="str">
        <f>[1]Sheet1!R312</f>
        <v>United States</v>
      </c>
      <c r="K318" s="2" t="str">
        <f>[1]Sheet1!S312</f>
        <v>United States</v>
      </c>
      <c r="L318" s="1"/>
    </row>
    <row r="319" spans="2:12">
      <c r="B319">
        <f>[1]Sheet1!B313</f>
        <v>310</v>
      </c>
      <c r="C319" s="2">
        <f>[1]Sheet1!C313</f>
        <v>2022</v>
      </c>
      <c r="D319" s="2" t="str">
        <f>[1]Sheet1!F313</f>
        <v>Data Analyst</v>
      </c>
      <c r="E319" s="2" t="str">
        <f>[1]Sheet1!Y312</f>
        <v>Executive</v>
      </c>
      <c r="F319" s="2" t="str">
        <f>[1]Sheet1!Q313</f>
        <v>110000 $</v>
      </c>
      <c r="G319" s="3">
        <f>[1]Sheet1!I313</f>
        <v>110000</v>
      </c>
      <c r="H319" s="2" t="str">
        <f>[1]Sheet1!N313</f>
        <v>Full-Time</v>
      </c>
      <c r="I319" s="2" t="str">
        <f>[1]Sheet1!O313</f>
        <v>Contract</v>
      </c>
      <c r="J319" s="2" t="str">
        <f>[1]Sheet1!R313</f>
        <v>United States</v>
      </c>
      <c r="K319" s="2" t="str">
        <f>[1]Sheet1!S313</f>
        <v>United States</v>
      </c>
      <c r="L319" s="1"/>
    </row>
    <row r="320" spans="2:12">
      <c r="B320">
        <f>[1]Sheet1!B314</f>
        <v>311</v>
      </c>
      <c r="C320" s="2">
        <f>[1]Sheet1!C314</f>
        <v>2022</v>
      </c>
      <c r="D320" s="2" t="str">
        <f>[1]Sheet1!F314</f>
        <v>Data Analyst</v>
      </c>
      <c r="E320" s="2" t="str">
        <f>[1]Sheet1!Y313</f>
        <v>Senior-Level</v>
      </c>
      <c r="F320" s="2" t="str">
        <f>[1]Sheet1!Q314</f>
        <v>170000 $</v>
      </c>
      <c r="G320" s="3">
        <f>[1]Sheet1!I314</f>
        <v>170000</v>
      </c>
      <c r="H320" s="2" t="str">
        <f>[1]Sheet1!N314</f>
        <v>Full-Time</v>
      </c>
      <c r="I320" s="2" t="str">
        <f>[1]Sheet1!O314</f>
        <v>Contract</v>
      </c>
      <c r="J320" s="2" t="str">
        <f>[1]Sheet1!R314</f>
        <v>United States</v>
      </c>
      <c r="K320" s="2" t="str">
        <f>[1]Sheet1!S314</f>
        <v>United States</v>
      </c>
      <c r="L320" s="1"/>
    </row>
    <row r="321" spans="2:12">
      <c r="B321">
        <f>[1]Sheet1!B315</f>
        <v>312</v>
      </c>
      <c r="C321" s="2">
        <f>[1]Sheet1!C315</f>
        <v>2022</v>
      </c>
      <c r="D321" s="2" t="str">
        <f>[1]Sheet1!F315</f>
        <v>Data Analyst</v>
      </c>
      <c r="E321" s="2" t="str">
        <f>[1]Sheet1!Y314</f>
        <v>Mid-Level</v>
      </c>
      <c r="F321" s="2" t="str">
        <f>[1]Sheet1!Q315</f>
        <v>115500 $</v>
      </c>
      <c r="G321" s="3">
        <f>[1]Sheet1!I315</f>
        <v>115500</v>
      </c>
      <c r="H321" s="2" t="str">
        <f>[1]Sheet1!N315</f>
        <v>Full-Time</v>
      </c>
      <c r="I321" s="2" t="str">
        <f>[1]Sheet1!O315</f>
        <v>Contract</v>
      </c>
      <c r="J321" s="2" t="str">
        <f>[1]Sheet1!R315</f>
        <v>United States</v>
      </c>
      <c r="K321" s="2" t="str">
        <f>[1]Sheet1!S315</f>
        <v>United States</v>
      </c>
      <c r="L321" s="1"/>
    </row>
    <row r="322" spans="2:12">
      <c r="B322">
        <f>[1]Sheet1!B316</f>
        <v>313</v>
      </c>
      <c r="C322" s="2">
        <f>[1]Sheet1!C316</f>
        <v>2022</v>
      </c>
      <c r="D322" s="2" t="str">
        <f>[1]Sheet1!F316</f>
        <v>Data Analyst</v>
      </c>
      <c r="E322" s="2" t="str">
        <f>[1]Sheet1!Y315</f>
        <v>Senior-Level</v>
      </c>
      <c r="F322" s="2" t="str">
        <f>[1]Sheet1!Q316</f>
        <v>112900 $</v>
      </c>
      <c r="G322" s="3">
        <f>[1]Sheet1!I316</f>
        <v>112900</v>
      </c>
      <c r="H322" s="2" t="str">
        <f>[1]Sheet1!N316</f>
        <v>Full-Time</v>
      </c>
      <c r="I322" s="2" t="str">
        <f>[1]Sheet1!O316</f>
        <v>Contract</v>
      </c>
      <c r="J322" s="2" t="str">
        <f>[1]Sheet1!R316</f>
        <v>United States</v>
      </c>
      <c r="K322" s="2" t="str">
        <f>[1]Sheet1!S316</f>
        <v>United States</v>
      </c>
      <c r="L322" s="1"/>
    </row>
    <row r="323" spans="2:12">
      <c r="B323">
        <f>[1]Sheet1!B317</f>
        <v>314</v>
      </c>
      <c r="C323" s="2">
        <f>[1]Sheet1!C317</f>
        <v>2022</v>
      </c>
      <c r="D323" s="2" t="str">
        <f>[1]Sheet1!F317</f>
        <v>Data Engineer</v>
      </c>
      <c r="E323" s="2" t="str">
        <f>[1]Sheet1!Y316</f>
        <v>Senior-Level</v>
      </c>
      <c r="F323" s="2" t="str">
        <f>[1]Sheet1!Q317</f>
        <v>165400 $</v>
      </c>
      <c r="G323" s="3">
        <f>[1]Sheet1!I317</f>
        <v>165400</v>
      </c>
      <c r="H323" s="2" t="str">
        <f>[1]Sheet1!N317</f>
        <v>Full-Time</v>
      </c>
      <c r="I323" s="2" t="str">
        <f>[1]Sheet1!O317</f>
        <v>Contract</v>
      </c>
      <c r="J323" s="2" t="str">
        <f>[1]Sheet1!R317</f>
        <v>United States</v>
      </c>
      <c r="K323" s="2" t="str">
        <f>[1]Sheet1!S317</f>
        <v>United States</v>
      </c>
      <c r="L323" s="1"/>
    </row>
    <row r="324" spans="2:12">
      <c r="B324">
        <f>[1]Sheet1!B318</f>
        <v>315</v>
      </c>
      <c r="C324" s="2">
        <f>[1]Sheet1!C318</f>
        <v>2022</v>
      </c>
      <c r="D324" s="2" t="str">
        <f>[1]Sheet1!F318</f>
        <v>Data Analyst</v>
      </c>
      <c r="E324" s="2" t="str">
        <f>[1]Sheet1!Y317</f>
        <v>Mid-Level</v>
      </c>
      <c r="F324" s="2" t="str">
        <f>[1]Sheet1!Q318</f>
        <v>167000 $</v>
      </c>
      <c r="G324" s="3">
        <f>[1]Sheet1!I318</f>
        <v>167000</v>
      </c>
      <c r="H324" s="2" t="str">
        <f>[1]Sheet1!N318</f>
        <v>Full-Time</v>
      </c>
      <c r="I324" s="2" t="str">
        <f>[1]Sheet1!O318</f>
        <v>Contract</v>
      </c>
      <c r="J324" s="2" t="str">
        <f>[1]Sheet1!R318</f>
        <v>United States</v>
      </c>
      <c r="K324" s="2" t="str">
        <f>[1]Sheet1!S318</f>
        <v>United States</v>
      </c>
      <c r="L324" s="1"/>
    </row>
    <row r="325" spans="2:12">
      <c r="B325">
        <f>[1]Sheet1!B319</f>
        <v>316</v>
      </c>
      <c r="C325" s="2">
        <f>[1]Sheet1!C319</f>
        <v>2022</v>
      </c>
      <c r="D325" s="2" t="str">
        <f>[1]Sheet1!F319</f>
        <v>Data Engineer</v>
      </c>
      <c r="E325" s="2" t="str">
        <f>[1]Sheet1!Y318</f>
        <v>Senior-Level</v>
      </c>
      <c r="F325" s="2" t="str">
        <f>[1]Sheet1!Q319</f>
        <v>243900 $</v>
      </c>
      <c r="G325" s="3">
        <f>[1]Sheet1!I319</f>
        <v>243900</v>
      </c>
      <c r="H325" s="2" t="str">
        <f>[1]Sheet1!N319</f>
        <v>Full-Time</v>
      </c>
      <c r="I325" s="2" t="str">
        <f>[1]Sheet1!O319</f>
        <v>Contract</v>
      </c>
      <c r="J325" s="2" t="str">
        <f>[1]Sheet1!R319</f>
        <v>United States</v>
      </c>
      <c r="K325" s="2" t="str">
        <f>[1]Sheet1!S319</f>
        <v>United States</v>
      </c>
      <c r="L325" s="1"/>
    </row>
    <row r="326" spans="2:12">
      <c r="B326">
        <f>[1]Sheet1!B320</f>
        <v>317</v>
      </c>
      <c r="C326" s="2">
        <f>[1]Sheet1!C320</f>
        <v>2022</v>
      </c>
      <c r="D326" s="2" t="str">
        <f>[1]Sheet1!F320</f>
        <v>Data Analyst</v>
      </c>
      <c r="E326" s="2" t="str">
        <f>[1]Sheet1!Y319</f>
        <v>Senior-Level</v>
      </c>
      <c r="F326" s="2" t="str">
        <f>[1]Sheet1!Q320</f>
        <v>136600 $</v>
      </c>
      <c r="G326" s="3">
        <f>[1]Sheet1!I320</f>
        <v>136600</v>
      </c>
      <c r="H326" s="2" t="str">
        <f>[1]Sheet1!N320</f>
        <v>Full-Time</v>
      </c>
      <c r="I326" s="2" t="str">
        <f>[1]Sheet1!O320</f>
        <v>Contract</v>
      </c>
      <c r="J326" s="2" t="str">
        <f>[1]Sheet1!R320</f>
        <v>United States</v>
      </c>
      <c r="K326" s="2" t="str">
        <f>[1]Sheet1!S320</f>
        <v>United States</v>
      </c>
      <c r="L326" s="1"/>
    </row>
    <row r="327" spans="2:12">
      <c r="B327">
        <f>[1]Sheet1!B321</f>
        <v>318</v>
      </c>
      <c r="C327" s="2">
        <f>[1]Sheet1!C321</f>
        <v>2022</v>
      </c>
      <c r="D327" s="2" t="str">
        <f>[1]Sheet1!F321</f>
        <v>Data Analyst</v>
      </c>
      <c r="E327" s="2" t="str">
        <f>[1]Sheet1!Y320</f>
        <v>Senior-Level</v>
      </c>
      <c r="F327" s="2" t="str">
        <f>[1]Sheet1!Q321</f>
        <v>109280 $</v>
      </c>
      <c r="G327" s="3">
        <f>[1]Sheet1!I321</f>
        <v>109280</v>
      </c>
      <c r="H327" s="2" t="str">
        <f>[1]Sheet1!N321</f>
        <v>Full-Time</v>
      </c>
      <c r="I327" s="2" t="str">
        <f>[1]Sheet1!O321</f>
        <v>Contract</v>
      </c>
      <c r="J327" s="2" t="str">
        <f>[1]Sheet1!R321</f>
        <v>United States</v>
      </c>
      <c r="K327" s="2" t="str">
        <f>[1]Sheet1!S321</f>
        <v>United States</v>
      </c>
      <c r="L327" s="1"/>
    </row>
    <row r="328" spans="2:12">
      <c r="B328">
        <f>[1]Sheet1!B322</f>
        <v>319</v>
      </c>
      <c r="C328" s="2">
        <f>[1]Sheet1!C322</f>
        <v>2022</v>
      </c>
      <c r="D328" s="2" t="str">
        <f>[1]Sheet1!F322</f>
        <v>Data Engineer</v>
      </c>
      <c r="E328" s="2" t="str">
        <f>[1]Sheet1!Y321</f>
        <v>Senior-Level</v>
      </c>
      <c r="F328" s="2" t="str">
        <f>[1]Sheet1!Q322</f>
        <v>128875 $</v>
      </c>
      <c r="G328" s="3">
        <f>[1]Sheet1!I322</f>
        <v>128875</v>
      </c>
      <c r="H328" s="2" t="str">
        <f>[1]Sheet1!N322</f>
        <v>Full-Time</v>
      </c>
      <c r="I328" s="2" t="str">
        <f>[1]Sheet1!O322</f>
        <v>Contract</v>
      </c>
      <c r="J328" s="2" t="str">
        <f>[1]Sheet1!R322</f>
        <v>United States</v>
      </c>
      <c r="K328" s="2" t="str">
        <f>[1]Sheet1!S322</f>
        <v>United States</v>
      </c>
      <c r="L328" s="1"/>
    </row>
    <row r="329" spans="2:12">
      <c r="B329">
        <f>[1]Sheet1!B323</f>
        <v>320</v>
      </c>
      <c r="C329" s="2">
        <f>[1]Sheet1!C323</f>
        <v>2022</v>
      </c>
      <c r="D329" s="2" t="str">
        <f>[1]Sheet1!F323</f>
        <v>Data Engineer</v>
      </c>
      <c r="E329" s="2" t="str">
        <f>[1]Sheet1!Y322</f>
        <v>Senior-Level</v>
      </c>
      <c r="F329" s="2" t="str">
        <f>[1]Sheet1!Q323</f>
        <v>93700 $</v>
      </c>
      <c r="G329" s="3">
        <f>[1]Sheet1!I323</f>
        <v>93700</v>
      </c>
      <c r="H329" s="2" t="str">
        <f>[1]Sheet1!N323</f>
        <v>Full-Time</v>
      </c>
      <c r="I329" s="2" t="str">
        <f>[1]Sheet1!O323</f>
        <v>Contract</v>
      </c>
      <c r="J329" s="2" t="str">
        <f>[1]Sheet1!R323</f>
        <v>United States</v>
      </c>
      <c r="K329" s="2" t="str">
        <f>[1]Sheet1!S323</f>
        <v>United States</v>
      </c>
      <c r="L329" s="1"/>
    </row>
    <row r="330" spans="2:12">
      <c r="B330">
        <f>[1]Sheet1!B324</f>
        <v>321</v>
      </c>
      <c r="C330" s="2">
        <f>[1]Sheet1!C324</f>
        <v>2022</v>
      </c>
      <c r="D330" s="2" t="str">
        <f>[1]Sheet1!F324</f>
        <v>Head of Data Science</v>
      </c>
      <c r="E330" s="2" t="str">
        <f>[1]Sheet1!Y323</f>
        <v>Executive</v>
      </c>
      <c r="F330" s="2" t="str">
        <f>[1]Sheet1!Q324</f>
        <v>224000 $</v>
      </c>
      <c r="G330" s="3">
        <f>[1]Sheet1!I324</f>
        <v>224000</v>
      </c>
      <c r="H330" s="2" t="str">
        <f>[1]Sheet1!N324</f>
        <v>Full-Time</v>
      </c>
      <c r="I330" s="2" t="str">
        <f>[1]Sheet1!O324</f>
        <v>Contract</v>
      </c>
      <c r="J330" s="2" t="str">
        <f>[1]Sheet1!R324</f>
        <v>United States</v>
      </c>
      <c r="K330" s="2" t="str">
        <f>[1]Sheet1!S324</f>
        <v>United States</v>
      </c>
      <c r="L330" s="1"/>
    </row>
    <row r="331" spans="2:12">
      <c r="B331">
        <f>[1]Sheet1!B325</f>
        <v>322</v>
      </c>
      <c r="C331" s="2">
        <f>[1]Sheet1!C325</f>
        <v>2022</v>
      </c>
      <c r="D331" s="2" t="str">
        <f>[1]Sheet1!F325</f>
        <v>Head of Data Science</v>
      </c>
      <c r="E331" s="2" t="str">
        <f>[1]Sheet1!Y324</f>
        <v>Executive</v>
      </c>
      <c r="F331" s="2" t="str">
        <f>[1]Sheet1!Q325</f>
        <v>167875 $</v>
      </c>
      <c r="G331" s="3">
        <f>[1]Sheet1!I325</f>
        <v>167875</v>
      </c>
      <c r="H331" s="2" t="str">
        <f>[1]Sheet1!N325</f>
        <v>Full-Time</v>
      </c>
      <c r="I331" s="2" t="str">
        <f>[1]Sheet1!O325</f>
        <v>Contract</v>
      </c>
      <c r="J331" s="2" t="str">
        <f>[1]Sheet1!R325</f>
        <v>United States</v>
      </c>
      <c r="K331" s="2" t="str">
        <f>[1]Sheet1!S325</f>
        <v>United States</v>
      </c>
      <c r="L331" s="1"/>
    </row>
    <row r="332" spans="2:12">
      <c r="B332">
        <f>[1]Sheet1!B326</f>
        <v>323</v>
      </c>
      <c r="C332" s="2">
        <f>[1]Sheet1!C326</f>
        <v>2022</v>
      </c>
      <c r="D332" s="2" t="str">
        <f>[1]Sheet1!F326</f>
        <v>Analytics Engineer</v>
      </c>
      <c r="E332" s="2" t="str">
        <f>[1]Sheet1!Y325</f>
        <v>Executive</v>
      </c>
      <c r="F332" s="2" t="str">
        <f>[1]Sheet1!Q326</f>
        <v>175000 $</v>
      </c>
      <c r="G332" s="3">
        <f>[1]Sheet1!I326</f>
        <v>175000</v>
      </c>
      <c r="H332" s="2" t="str">
        <f>[1]Sheet1!N326</f>
        <v>Full-Time</v>
      </c>
      <c r="I332" s="2" t="str">
        <f>[1]Sheet1!O326</f>
        <v>Contract</v>
      </c>
      <c r="J332" s="2" t="str">
        <f>[1]Sheet1!R326</f>
        <v>United States</v>
      </c>
      <c r="K332" s="2" t="str">
        <f>[1]Sheet1!S326</f>
        <v>United States</v>
      </c>
      <c r="L332" s="1"/>
    </row>
    <row r="333" spans="2:12">
      <c r="B333">
        <f>[1]Sheet1!B327</f>
        <v>324</v>
      </c>
      <c r="C333" s="2">
        <f>[1]Sheet1!C327</f>
        <v>2022</v>
      </c>
      <c r="D333" s="2" t="str">
        <f>[1]Sheet1!F327</f>
        <v>Data Engineer</v>
      </c>
      <c r="E333" s="2" t="str">
        <f>[1]Sheet1!Y326</f>
        <v>Senior-Level</v>
      </c>
      <c r="F333" s="2" t="str">
        <f>[1]Sheet1!Q327</f>
        <v>156600 $</v>
      </c>
      <c r="G333" s="3">
        <f>[1]Sheet1!I327</f>
        <v>156600</v>
      </c>
      <c r="H333" s="2" t="str">
        <f>[1]Sheet1!N327</f>
        <v>Full-Time</v>
      </c>
      <c r="I333" s="2" t="str">
        <f>[1]Sheet1!O327</f>
        <v>Contract</v>
      </c>
      <c r="J333" s="2" t="str">
        <f>[1]Sheet1!R327</f>
        <v>United States</v>
      </c>
      <c r="K333" s="2" t="str">
        <f>[1]Sheet1!S327</f>
        <v>United States</v>
      </c>
      <c r="L333" s="1"/>
    </row>
    <row r="334" spans="2:12">
      <c r="B334">
        <f>[1]Sheet1!B328</f>
        <v>325</v>
      </c>
      <c r="C334" s="2">
        <f>[1]Sheet1!C328</f>
        <v>2022</v>
      </c>
      <c r="D334" s="2" t="str">
        <f>[1]Sheet1!F328</f>
        <v>Data Engineer</v>
      </c>
      <c r="E334" s="2" t="str">
        <f>[1]Sheet1!Y327</f>
        <v>Senior-Level</v>
      </c>
      <c r="F334" s="2" t="str">
        <f>[1]Sheet1!Q328</f>
        <v>108800 $</v>
      </c>
      <c r="G334" s="3">
        <f>[1]Sheet1!I328</f>
        <v>108800</v>
      </c>
      <c r="H334" s="2" t="str">
        <f>[1]Sheet1!N328</f>
        <v>Full-Time</v>
      </c>
      <c r="I334" s="2" t="str">
        <f>[1]Sheet1!O328</f>
        <v>Contract</v>
      </c>
      <c r="J334" s="2" t="str">
        <f>[1]Sheet1!R328</f>
        <v>United States</v>
      </c>
      <c r="K334" s="2" t="str">
        <f>[1]Sheet1!S328</f>
        <v>United States</v>
      </c>
      <c r="L334" s="1"/>
    </row>
    <row r="335" spans="2:12">
      <c r="B335">
        <f>[1]Sheet1!B329</f>
        <v>326</v>
      </c>
      <c r="C335" s="2">
        <f>[1]Sheet1!C329</f>
        <v>2022</v>
      </c>
      <c r="D335" s="2" t="str">
        <f>[1]Sheet1!F329</f>
        <v>Data Scientist</v>
      </c>
      <c r="E335" s="2" t="str">
        <f>[1]Sheet1!Y328</f>
        <v>Senior-Level</v>
      </c>
      <c r="F335" s="2" t="str">
        <f>[1]Sheet1!Q329</f>
        <v>95550 $</v>
      </c>
      <c r="G335" s="3">
        <f>[1]Sheet1!I329</f>
        <v>95550</v>
      </c>
      <c r="H335" s="2" t="str">
        <f>[1]Sheet1!N329</f>
        <v>Full-Time</v>
      </c>
      <c r="I335" s="2" t="str">
        <f>[1]Sheet1!O329</f>
        <v>Contract</v>
      </c>
      <c r="J335" s="2" t="str">
        <f>[1]Sheet1!R329</f>
        <v>United States</v>
      </c>
      <c r="K335" s="2" t="str">
        <f>[1]Sheet1!S329</f>
        <v>United States</v>
      </c>
      <c r="L335" s="1"/>
    </row>
    <row r="336" spans="2:12">
      <c r="B336">
        <f>[1]Sheet1!B330</f>
        <v>327</v>
      </c>
      <c r="C336" s="2">
        <f>[1]Sheet1!C330</f>
        <v>2022</v>
      </c>
      <c r="D336" s="2" t="str">
        <f>[1]Sheet1!F330</f>
        <v>Data Engineer</v>
      </c>
      <c r="E336" s="2" t="str">
        <f>[1]Sheet1!Y329</f>
        <v>Senior-Level</v>
      </c>
      <c r="F336" s="2" t="str">
        <f>[1]Sheet1!Q330</f>
        <v>113000 $</v>
      </c>
      <c r="G336" s="3">
        <f>[1]Sheet1!I330</f>
        <v>113000</v>
      </c>
      <c r="H336" s="2" t="str">
        <f>[1]Sheet1!N330</f>
        <v>Full-Time</v>
      </c>
      <c r="I336" s="2" t="str">
        <f>[1]Sheet1!O330</f>
        <v>Large</v>
      </c>
      <c r="J336" s="2" t="str">
        <f>[1]Sheet1!R330</f>
        <v>United States</v>
      </c>
      <c r="K336" s="2" t="str">
        <f>[1]Sheet1!S330</f>
        <v>United States</v>
      </c>
      <c r="L336" s="1"/>
    </row>
    <row r="337" spans="2:12">
      <c r="B337">
        <f>[1]Sheet1!B331</f>
        <v>328</v>
      </c>
      <c r="C337" s="2">
        <f>[1]Sheet1!C331</f>
        <v>2022</v>
      </c>
      <c r="D337" s="2" t="str">
        <f>[1]Sheet1!F331</f>
        <v>Data Science Manager</v>
      </c>
      <c r="E337" s="2" t="str">
        <f>[1]Sheet1!Y330</f>
        <v>Senior-Level</v>
      </c>
      <c r="F337" s="2" t="str">
        <f>[1]Sheet1!Q331</f>
        <v>161342 $</v>
      </c>
      <c r="G337" s="3">
        <f>[1]Sheet1!I331</f>
        <v>161342</v>
      </c>
      <c r="H337" s="2" t="str">
        <f>[1]Sheet1!N331</f>
        <v>Full-Time</v>
      </c>
      <c r="I337" s="2" t="str">
        <f>[1]Sheet1!O331</f>
        <v>Contract</v>
      </c>
      <c r="J337" s="2" t="str">
        <f>[1]Sheet1!R331</f>
        <v>United States</v>
      </c>
      <c r="K337" s="2" t="str">
        <f>[1]Sheet1!S331</f>
        <v>United States</v>
      </c>
      <c r="L337" s="1"/>
    </row>
    <row r="338" spans="2:12">
      <c r="B338">
        <f>[1]Sheet1!B332</f>
        <v>329</v>
      </c>
      <c r="C338" s="2">
        <f>[1]Sheet1!C332</f>
        <v>2022</v>
      </c>
      <c r="D338" s="2" t="str">
        <f>[1]Sheet1!F332</f>
        <v>Data Science Manager</v>
      </c>
      <c r="E338" s="2" t="str">
        <f>[1]Sheet1!Y331</f>
        <v>Senior-Level</v>
      </c>
      <c r="F338" s="2" t="str">
        <f>[1]Sheet1!Q332</f>
        <v>137141 $</v>
      </c>
      <c r="G338" s="3">
        <f>[1]Sheet1!I332</f>
        <v>137141</v>
      </c>
      <c r="H338" s="2" t="str">
        <f>[1]Sheet1!N332</f>
        <v>Full-Time</v>
      </c>
      <c r="I338" s="2" t="str">
        <f>[1]Sheet1!O332</f>
        <v>Contract</v>
      </c>
      <c r="J338" s="2" t="str">
        <f>[1]Sheet1!R332</f>
        <v>United States</v>
      </c>
      <c r="K338" s="2" t="str">
        <f>[1]Sheet1!S332</f>
        <v>United States</v>
      </c>
      <c r="L338" s="1"/>
    </row>
    <row r="339" spans="2:12">
      <c r="B339">
        <f>[1]Sheet1!B333</f>
        <v>330</v>
      </c>
      <c r="C339" s="2">
        <f>[1]Sheet1!C333</f>
        <v>2022</v>
      </c>
      <c r="D339" s="2" t="str">
        <f>[1]Sheet1!F333</f>
        <v>Data Scientist</v>
      </c>
      <c r="E339" s="2" t="str">
        <f>[1]Sheet1!Y332</f>
        <v>Senior-Level</v>
      </c>
      <c r="F339" s="2" t="str">
        <f>[1]Sheet1!Q333</f>
        <v>167000 $</v>
      </c>
      <c r="G339" s="3">
        <f>[1]Sheet1!I333</f>
        <v>167000</v>
      </c>
      <c r="H339" s="2" t="str">
        <f>[1]Sheet1!N333</f>
        <v>Full-Time</v>
      </c>
      <c r="I339" s="2" t="str">
        <f>[1]Sheet1!O333</f>
        <v>Contract</v>
      </c>
      <c r="J339" s="2" t="str">
        <f>[1]Sheet1!R333</f>
        <v>United States</v>
      </c>
      <c r="K339" s="2" t="str">
        <f>[1]Sheet1!S333</f>
        <v>United States</v>
      </c>
      <c r="L339" s="1"/>
    </row>
    <row r="340" spans="2:12">
      <c r="B340">
        <f>[1]Sheet1!B334</f>
        <v>331</v>
      </c>
      <c r="C340" s="2">
        <f>[1]Sheet1!C334</f>
        <v>2022</v>
      </c>
      <c r="D340" s="2" t="str">
        <f>[1]Sheet1!F334</f>
        <v>Data Engineer</v>
      </c>
      <c r="E340" s="2" t="str">
        <f>[1]Sheet1!Y333</f>
        <v>Senior-Level</v>
      </c>
      <c r="F340" s="2" t="str">
        <f>[1]Sheet1!Q334</f>
        <v>50000 £</v>
      </c>
      <c r="G340" s="3">
        <f>[1]Sheet1!I334</f>
        <v>65438</v>
      </c>
      <c r="H340" s="2" t="str">
        <f>[1]Sheet1!N334</f>
        <v>Full-Time</v>
      </c>
      <c r="I340" s="2" t="str">
        <f>[1]Sheet1!O334</f>
        <v>Contract</v>
      </c>
      <c r="J340" s="2" t="str">
        <f>[1]Sheet1!R334</f>
        <v>United Kingdom</v>
      </c>
      <c r="K340" s="2" t="str">
        <f>[1]Sheet1!S334</f>
        <v>United Kingdom</v>
      </c>
      <c r="L340" s="1"/>
    </row>
    <row r="341" spans="2:12">
      <c r="B341">
        <f>[1]Sheet1!B335</f>
        <v>332</v>
      </c>
      <c r="C341" s="2">
        <f>[1]Sheet1!C335</f>
        <v>2022</v>
      </c>
      <c r="D341" s="2" t="str">
        <f>[1]Sheet1!F335</f>
        <v>Data Scientist</v>
      </c>
      <c r="E341" s="2" t="str">
        <f>[1]Sheet1!Y334</f>
        <v>Senior-Level</v>
      </c>
      <c r="F341" s="2" t="str">
        <f>[1]Sheet1!Q335</f>
        <v>211500 $</v>
      </c>
      <c r="G341" s="3">
        <f>[1]Sheet1!I335</f>
        <v>211500</v>
      </c>
      <c r="H341" s="2" t="str">
        <f>[1]Sheet1!N335</f>
        <v>Full-Time</v>
      </c>
      <c r="I341" s="2" t="str">
        <f>[1]Sheet1!O335</f>
        <v>Contract</v>
      </c>
      <c r="J341" s="2" t="str">
        <f>[1]Sheet1!R335</f>
        <v>United States</v>
      </c>
      <c r="K341" s="2" t="str">
        <f>[1]Sheet1!S335</f>
        <v>United States</v>
      </c>
      <c r="L341" s="1"/>
    </row>
    <row r="342" spans="2:12">
      <c r="B342">
        <f>[1]Sheet1!B336</f>
        <v>333</v>
      </c>
      <c r="C342" s="2">
        <f>[1]Sheet1!C336</f>
        <v>2022</v>
      </c>
      <c r="D342" s="2" t="str">
        <f>[1]Sheet1!F336</f>
        <v>Data Architect</v>
      </c>
      <c r="E342" s="2" t="str">
        <f>[1]Sheet1!Y335</f>
        <v>Senior-Level</v>
      </c>
      <c r="F342" s="2" t="str">
        <f>[1]Sheet1!Q336</f>
        <v>192400 $</v>
      </c>
      <c r="G342" s="3">
        <f>[1]Sheet1!I336</f>
        <v>192400</v>
      </c>
      <c r="H342" s="2" t="str">
        <f>[1]Sheet1!N336</f>
        <v>Full-Time</v>
      </c>
      <c r="I342" s="2" t="str">
        <f>[1]Sheet1!O336</f>
        <v>Contract</v>
      </c>
      <c r="J342" s="2" t="str">
        <f>[1]Sheet1!R336</f>
        <v>Canada</v>
      </c>
      <c r="K342" s="2" t="str">
        <f>[1]Sheet1!S336</f>
        <v>Canada</v>
      </c>
      <c r="L342" s="1"/>
    </row>
    <row r="343" spans="2:12">
      <c r="B343">
        <f>[1]Sheet1!B337</f>
        <v>334</v>
      </c>
      <c r="C343" s="2">
        <f>[1]Sheet1!C337</f>
        <v>2022</v>
      </c>
      <c r="D343" s="2" t="str">
        <f>[1]Sheet1!F337</f>
        <v>Data Architect</v>
      </c>
      <c r="E343" s="2" t="str">
        <f>[1]Sheet1!Y336</f>
        <v>Senior-Level</v>
      </c>
      <c r="F343" s="2" t="str">
        <f>[1]Sheet1!Q337</f>
        <v>90700 $</v>
      </c>
      <c r="G343" s="3">
        <f>[1]Sheet1!I337</f>
        <v>90700</v>
      </c>
      <c r="H343" s="2" t="str">
        <f>[1]Sheet1!N337</f>
        <v>Full-Time</v>
      </c>
      <c r="I343" s="2" t="str">
        <f>[1]Sheet1!O337</f>
        <v>Contract</v>
      </c>
      <c r="J343" s="2" t="str">
        <f>[1]Sheet1!R337</f>
        <v>Canada</v>
      </c>
      <c r="K343" s="2" t="str">
        <f>[1]Sheet1!S337</f>
        <v>Canada</v>
      </c>
      <c r="L343" s="1"/>
    </row>
    <row r="344" spans="2:12">
      <c r="B344">
        <f>[1]Sheet1!B338</f>
        <v>335</v>
      </c>
      <c r="C344" s="2">
        <f>[1]Sheet1!C338</f>
        <v>2022</v>
      </c>
      <c r="D344" s="2" t="str">
        <f>[1]Sheet1!F338</f>
        <v>Data Analyst</v>
      </c>
      <c r="E344" s="2" t="str">
        <f>[1]Sheet1!Y337</f>
        <v>Senior-Level</v>
      </c>
      <c r="F344" s="2" t="str">
        <f>[1]Sheet1!Q338</f>
        <v>130000 $</v>
      </c>
      <c r="G344" s="3">
        <f>[1]Sheet1!I338</f>
        <v>130000</v>
      </c>
      <c r="H344" s="2" t="str">
        <f>[1]Sheet1!N338</f>
        <v>Full-Time</v>
      </c>
      <c r="I344" s="2" t="str">
        <f>[1]Sheet1!O338</f>
        <v>Contract</v>
      </c>
      <c r="J344" s="2" t="str">
        <f>[1]Sheet1!R338</f>
        <v>Canada</v>
      </c>
      <c r="K344" s="2" t="str">
        <f>[1]Sheet1!S338</f>
        <v>Canada</v>
      </c>
      <c r="L344" s="1"/>
    </row>
    <row r="345" spans="2:12">
      <c r="B345">
        <f>[1]Sheet1!B339</f>
        <v>336</v>
      </c>
      <c r="C345" s="2">
        <f>[1]Sheet1!C339</f>
        <v>2022</v>
      </c>
      <c r="D345" s="2" t="str">
        <f>[1]Sheet1!F339</f>
        <v>Data Analyst</v>
      </c>
      <c r="E345" s="2" t="str">
        <f>[1]Sheet1!Y338</f>
        <v>Senior-Level</v>
      </c>
      <c r="F345" s="2" t="str">
        <f>[1]Sheet1!Q339</f>
        <v>61300 $</v>
      </c>
      <c r="G345" s="3">
        <f>[1]Sheet1!I339</f>
        <v>61300</v>
      </c>
      <c r="H345" s="2" t="str">
        <f>[1]Sheet1!N339</f>
        <v>Full-Time</v>
      </c>
      <c r="I345" s="2" t="str">
        <f>[1]Sheet1!O339</f>
        <v>Contract</v>
      </c>
      <c r="J345" s="2" t="str">
        <f>[1]Sheet1!R339</f>
        <v>Canada</v>
      </c>
      <c r="K345" s="2" t="str">
        <f>[1]Sheet1!S339</f>
        <v>Canada</v>
      </c>
      <c r="L345" s="1"/>
    </row>
    <row r="346" spans="2:12">
      <c r="B346">
        <f>[1]Sheet1!B340</f>
        <v>337</v>
      </c>
      <c r="C346" s="2">
        <f>[1]Sheet1!C340</f>
        <v>2022</v>
      </c>
      <c r="D346" s="2" t="str">
        <f>[1]Sheet1!F340</f>
        <v>Data Engineer</v>
      </c>
      <c r="E346" s="2" t="str">
        <f>[1]Sheet1!Y339</f>
        <v>Senior-Level</v>
      </c>
      <c r="F346" s="2" t="str">
        <f>[1]Sheet1!Q340</f>
        <v>160000 $</v>
      </c>
      <c r="G346" s="3">
        <f>[1]Sheet1!I340</f>
        <v>160000</v>
      </c>
      <c r="H346" s="2" t="str">
        <f>[1]Sheet1!N340</f>
        <v>Full-Time</v>
      </c>
      <c r="I346" s="2" t="str">
        <f>[1]Sheet1!O340</f>
        <v>Large</v>
      </c>
      <c r="J346" s="2" t="str">
        <f>[1]Sheet1!R340</f>
        <v>United States</v>
      </c>
      <c r="K346" s="2" t="str">
        <f>[1]Sheet1!S340</f>
        <v>United States</v>
      </c>
      <c r="L346" s="1"/>
    </row>
    <row r="347" spans="2:12">
      <c r="B347">
        <f>[1]Sheet1!B341</f>
        <v>338</v>
      </c>
      <c r="C347" s="2">
        <f>[1]Sheet1!C341</f>
        <v>2022</v>
      </c>
      <c r="D347" s="2" t="str">
        <f>[1]Sheet1!F341</f>
        <v>Data Scientist</v>
      </c>
      <c r="E347" s="2" t="str">
        <f>[1]Sheet1!Y340</f>
        <v>Senior-Level</v>
      </c>
      <c r="F347" s="2" t="str">
        <f>[1]Sheet1!Q341</f>
        <v>138600 $</v>
      </c>
      <c r="G347" s="3">
        <f>[1]Sheet1!I341</f>
        <v>138600</v>
      </c>
      <c r="H347" s="2" t="str">
        <f>[1]Sheet1!N341</f>
        <v>Full-Time</v>
      </c>
      <c r="I347" s="2" t="str">
        <f>[1]Sheet1!O341</f>
        <v>Contract</v>
      </c>
      <c r="J347" s="2" t="str">
        <f>[1]Sheet1!R341</f>
        <v>United States</v>
      </c>
      <c r="K347" s="2" t="str">
        <f>[1]Sheet1!S341</f>
        <v>United States</v>
      </c>
      <c r="L347" s="1"/>
    </row>
    <row r="348" spans="2:12">
      <c r="B348">
        <f>[1]Sheet1!B342</f>
        <v>339</v>
      </c>
      <c r="C348" s="2">
        <f>[1]Sheet1!C342</f>
        <v>2022</v>
      </c>
      <c r="D348" s="2" t="str">
        <f>[1]Sheet1!F342</f>
        <v>Data Engineer</v>
      </c>
      <c r="E348" s="2" t="str">
        <f>[1]Sheet1!Y341</f>
        <v>Senior-Level</v>
      </c>
      <c r="F348" s="2" t="str">
        <f>[1]Sheet1!Q342</f>
        <v>136000 $</v>
      </c>
      <c r="G348" s="3">
        <f>[1]Sheet1!I342</f>
        <v>136000</v>
      </c>
      <c r="H348" s="2" t="str">
        <f>[1]Sheet1!N342</f>
        <v>Full-Time</v>
      </c>
      <c r="I348" s="2" t="str">
        <f>[1]Sheet1!O342</f>
        <v>Contract</v>
      </c>
      <c r="J348" s="2" t="str">
        <f>[1]Sheet1!R342</f>
        <v>United States</v>
      </c>
      <c r="K348" s="2" t="str">
        <f>[1]Sheet1!S342</f>
        <v>United States</v>
      </c>
      <c r="L348" s="1"/>
    </row>
    <row r="349" spans="2:12">
      <c r="B349">
        <f>[1]Sheet1!B343</f>
        <v>340</v>
      </c>
      <c r="C349" s="2">
        <f>[1]Sheet1!C343</f>
        <v>2022</v>
      </c>
      <c r="D349" s="2" t="str">
        <f>[1]Sheet1!F343</f>
        <v>Data Analyst</v>
      </c>
      <c r="E349" s="2" t="str">
        <f>[1]Sheet1!Y342</f>
        <v>Mid-Level</v>
      </c>
      <c r="F349" s="2" t="str">
        <f>[1]Sheet1!Q343</f>
        <v>58000 $</v>
      </c>
      <c r="G349" s="3">
        <f>[1]Sheet1!I343</f>
        <v>58000</v>
      </c>
      <c r="H349" s="2" t="str">
        <f>[1]Sheet1!N343</f>
        <v>Full-Time</v>
      </c>
      <c r="I349" s="2" t="str">
        <f>[1]Sheet1!O343</f>
        <v>Small</v>
      </c>
      <c r="J349" s="2" t="str">
        <f>[1]Sheet1!R343</f>
        <v>United States</v>
      </c>
      <c r="K349" s="2" t="str">
        <f>[1]Sheet1!S343</f>
        <v>United States</v>
      </c>
      <c r="L349" s="1"/>
    </row>
    <row r="350" spans="2:12">
      <c r="B350">
        <f>[1]Sheet1!B344</f>
        <v>341</v>
      </c>
      <c r="C350" s="2">
        <f>[1]Sheet1!C344</f>
        <v>2022</v>
      </c>
      <c r="D350" s="2" t="str">
        <f>[1]Sheet1!F344</f>
        <v>Analytics Engineer</v>
      </c>
      <c r="E350" s="2" t="str">
        <f>[1]Sheet1!Y343</f>
        <v>Executive</v>
      </c>
      <c r="F350" s="2" t="str">
        <f>[1]Sheet1!Q344</f>
        <v>135000 $</v>
      </c>
      <c r="G350" s="3">
        <f>[1]Sheet1!I344</f>
        <v>135000</v>
      </c>
      <c r="H350" s="2" t="str">
        <f>[1]Sheet1!N344</f>
        <v>Full-Time</v>
      </c>
      <c r="I350" s="2" t="str">
        <f>[1]Sheet1!O344</f>
        <v>Contract</v>
      </c>
      <c r="J350" s="2" t="str">
        <f>[1]Sheet1!R344</f>
        <v>United States</v>
      </c>
      <c r="K350" s="2" t="str">
        <f>[1]Sheet1!S344</f>
        <v>United States</v>
      </c>
      <c r="L350" s="1"/>
    </row>
    <row r="351" spans="2:12">
      <c r="B351">
        <f>[1]Sheet1!B345</f>
        <v>342</v>
      </c>
      <c r="C351" s="2">
        <f>[1]Sheet1!C345</f>
        <v>2022</v>
      </c>
      <c r="D351" s="2" t="str">
        <f>[1]Sheet1!F345</f>
        <v>Data Scientist</v>
      </c>
      <c r="E351" s="2" t="str">
        <f>[1]Sheet1!Y344</f>
        <v>Senior-Level</v>
      </c>
      <c r="F351" s="2" t="str">
        <f>[1]Sheet1!Q345</f>
        <v>170000 $</v>
      </c>
      <c r="G351" s="3">
        <f>[1]Sheet1!I345</f>
        <v>170000</v>
      </c>
      <c r="H351" s="2" t="str">
        <f>[1]Sheet1!N345</f>
        <v>Full-Time</v>
      </c>
      <c r="I351" s="2" t="str">
        <f>[1]Sheet1!O345</f>
        <v>Contract</v>
      </c>
      <c r="J351" s="2" t="str">
        <f>[1]Sheet1!R345</f>
        <v>United States</v>
      </c>
      <c r="K351" s="2" t="str">
        <f>[1]Sheet1!S345</f>
        <v>United States</v>
      </c>
      <c r="L351" s="1"/>
    </row>
    <row r="352" spans="2:12">
      <c r="B352">
        <f>[1]Sheet1!B346</f>
        <v>343</v>
      </c>
      <c r="C352" s="2">
        <f>[1]Sheet1!C346</f>
        <v>2022</v>
      </c>
      <c r="D352" s="2" t="str">
        <f>[1]Sheet1!F346</f>
        <v>Machine Learning Engineer</v>
      </c>
      <c r="E352" s="2" t="str">
        <f>[1]Sheet1!Y345</f>
        <v>Senior-Level</v>
      </c>
      <c r="F352" s="2" t="str">
        <f>[1]Sheet1!Q346</f>
        <v>189650 $</v>
      </c>
      <c r="G352" s="3">
        <f>[1]Sheet1!I346</f>
        <v>189650</v>
      </c>
      <c r="H352" s="2" t="str">
        <f>[1]Sheet1!N346</f>
        <v>Full-Time</v>
      </c>
      <c r="I352" s="2" t="str">
        <f>[1]Sheet1!O346</f>
        <v>Contract</v>
      </c>
      <c r="J352" s="2" t="str">
        <f>[1]Sheet1!R346</f>
        <v>United States</v>
      </c>
      <c r="K352" s="2" t="str">
        <f>[1]Sheet1!S346</f>
        <v>United States</v>
      </c>
      <c r="L352" s="1"/>
    </row>
    <row r="353" spans="2:12">
      <c r="B353">
        <f>[1]Sheet1!B347</f>
        <v>344</v>
      </c>
      <c r="C353" s="2">
        <f>[1]Sheet1!C347</f>
        <v>2022</v>
      </c>
      <c r="D353" s="2" t="str">
        <f>[1]Sheet1!F347</f>
        <v>Machine Learning Engineer</v>
      </c>
      <c r="E353" s="2" t="str">
        <f>[1]Sheet1!Y346</f>
        <v>Senior-Level</v>
      </c>
      <c r="F353" s="2" t="str">
        <f>[1]Sheet1!Q347</f>
        <v>164996 $</v>
      </c>
      <c r="G353" s="3">
        <f>[1]Sheet1!I347</f>
        <v>164996</v>
      </c>
      <c r="H353" s="2" t="str">
        <f>[1]Sheet1!N347</f>
        <v>Full-Time</v>
      </c>
      <c r="I353" s="2" t="str">
        <f>[1]Sheet1!O347</f>
        <v>Contract</v>
      </c>
      <c r="J353" s="2" t="str">
        <f>[1]Sheet1!R347</f>
        <v>United States</v>
      </c>
      <c r="K353" s="2" t="str">
        <f>[1]Sheet1!S347</f>
        <v>United States</v>
      </c>
      <c r="L353" s="1"/>
    </row>
    <row r="354" spans="2:12">
      <c r="B354">
        <f>[1]Sheet1!B348</f>
        <v>345</v>
      </c>
      <c r="C354" s="2">
        <f>[1]Sheet1!C348</f>
        <v>2022</v>
      </c>
      <c r="D354" s="2" t="str">
        <f>[1]Sheet1!F348</f>
        <v>ETL Developer</v>
      </c>
      <c r="E354" s="2" t="str">
        <f>[1]Sheet1!Y347</f>
        <v>Mid-Level</v>
      </c>
      <c r="F354" s="2" t="str">
        <f>[1]Sheet1!Q348</f>
        <v>50000 €</v>
      </c>
      <c r="G354" s="3">
        <f>[1]Sheet1!I348</f>
        <v>54957</v>
      </c>
      <c r="H354" s="2" t="str">
        <f>[1]Sheet1!N348</f>
        <v>Full-Time</v>
      </c>
      <c r="I354" s="2" t="str">
        <f>[1]Sheet1!O348</f>
        <v>Contract</v>
      </c>
      <c r="J354" s="2" t="str">
        <f>[1]Sheet1!R348</f>
        <v>Greece</v>
      </c>
      <c r="K354" s="2" t="str">
        <f>[1]Sheet1!S348</f>
        <v>Greece</v>
      </c>
      <c r="L354" s="1"/>
    </row>
    <row r="355" spans="2:12">
      <c r="B355">
        <f>[1]Sheet1!B349</f>
        <v>346</v>
      </c>
      <c r="C355" s="2">
        <f>[1]Sheet1!C349</f>
        <v>2022</v>
      </c>
      <c r="D355" s="2" t="str">
        <f>[1]Sheet1!F349</f>
        <v>Lead Data Engineer</v>
      </c>
      <c r="E355" s="2" t="str">
        <f>[1]Sheet1!Y348</f>
        <v>Executive</v>
      </c>
      <c r="F355" s="2" t="str">
        <f>[1]Sheet1!Q349</f>
        <v>150000 C$</v>
      </c>
      <c r="G355" s="3">
        <f>[1]Sheet1!I349</f>
        <v>118187</v>
      </c>
      <c r="H355" s="2" t="str">
        <f>[1]Sheet1!N349</f>
        <v>Full-Time</v>
      </c>
      <c r="I355" s="2" t="str">
        <f>[1]Sheet1!O349</f>
        <v>Small</v>
      </c>
      <c r="J355" s="2" t="str">
        <f>[1]Sheet1!R349</f>
        <v>Canada</v>
      </c>
      <c r="K355" s="2" t="str">
        <f>[1]Sheet1!S349</f>
        <v>Canada</v>
      </c>
      <c r="L355" s="1"/>
    </row>
    <row r="356" spans="2:12">
      <c r="B356">
        <f>[1]Sheet1!B350</f>
        <v>347</v>
      </c>
      <c r="C356" s="2">
        <f>[1]Sheet1!C350</f>
        <v>2022</v>
      </c>
      <c r="D356" s="2" t="str">
        <f>[1]Sheet1!F350</f>
        <v>Data Analyst</v>
      </c>
      <c r="E356" s="2" t="str">
        <f>[1]Sheet1!Y349</f>
        <v>Senior-Level</v>
      </c>
      <c r="F356" s="2" t="str">
        <f>[1]Sheet1!Q350</f>
        <v>132000 $</v>
      </c>
      <c r="G356" s="3">
        <f>[1]Sheet1!I350</f>
        <v>132000</v>
      </c>
      <c r="H356" s="2" t="str">
        <f>[1]Sheet1!N350</f>
        <v>Full-Time</v>
      </c>
      <c r="I356" s="2" t="str">
        <f>[1]Sheet1!O350</f>
        <v>Contract</v>
      </c>
      <c r="J356" s="2" t="str">
        <f>[1]Sheet1!R350</f>
        <v>United States</v>
      </c>
      <c r="K356" s="2" t="str">
        <f>[1]Sheet1!S350</f>
        <v>United States</v>
      </c>
      <c r="L356" s="1"/>
    </row>
    <row r="357" spans="2:12">
      <c r="B357">
        <f>[1]Sheet1!B351</f>
        <v>348</v>
      </c>
      <c r="C357" s="2">
        <f>[1]Sheet1!C351</f>
        <v>2022</v>
      </c>
      <c r="D357" s="2" t="str">
        <f>[1]Sheet1!F351</f>
        <v>Data Architect</v>
      </c>
      <c r="E357" s="2" t="str">
        <f>[1]Sheet1!Y350</f>
        <v>Senior-Level</v>
      </c>
      <c r="F357" s="2" t="str">
        <f>[1]Sheet1!Q351</f>
        <v>208775 $</v>
      </c>
      <c r="G357" s="3">
        <f>[1]Sheet1!I351</f>
        <v>208775</v>
      </c>
      <c r="H357" s="2" t="str">
        <f>[1]Sheet1!N351</f>
        <v>Full-Time</v>
      </c>
      <c r="I357" s="2" t="str">
        <f>[1]Sheet1!O351</f>
        <v>Contract</v>
      </c>
      <c r="J357" s="2" t="str">
        <f>[1]Sheet1!R351</f>
        <v>United States</v>
      </c>
      <c r="K357" s="2" t="str">
        <f>[1]Sheet1!S351</f>
        <v>United States</v>
      </c>
      <c r="L357" s="1"/>
    </row>
    <row r="358" spans="2:12">
      <c r="B358">
        <f>[1]Sheet1!B352</f>
        <v>349</v>
      </c>
      <c r="C358" s="2">
        <f>[1]Sheet1!C352</f>
        <v>2022</v>
      </c>
      <c r="D358" s="2" t="str">
        <f>[1]Sheet1!F352</f>
        <v>Data Architect</v>
      </c>
      <c r="E358" s="2" t="str">
        <f>[1]Sheet1!Y351</f>
        <v>Senior-Level</v>
      </c>
      <c r="F358" s="2" t="str">
        <f>[1]Sheet1!Q352</f>
        <v>147800 $</v>
      </c>
      <c r="G358" s="3">
        <f>[1]Sheet1!I352</f>
        <v>147800</v>
      </c>
      <c r="H358" s="2" t="str">
        <f>[1]Sheet1!N352</f>
        <v>Full-Time</v>
      </c>
      <c r="I358" s="2" t="str">
        <f>[1]Sheet1!O352</f>
        <v>Contract</v>
      </c>
      <c r="J358" s="2" t="str">
        <f>[1]Sheet1!R352</f>
        <v>United States</v>
      </c>
      <c r="K358" s="2" t="str">
        <f>[1]Sheet1!S352</f>
        <v>United States</v>
      </c>
      <c r="L358" s="1"/>
    </row>
    <row r="359" spans="2:12">
      <c r="B359">
        <f>[1]Sheet1!B353</f>
        <v>350</v>
      </c>
      <c r="C359" s="2">
        <f>[1]Sheet1!C353</f>
        <v>2022</v>
      </c>
      <c r="D359" s="2" t="str">
        <f>[1]Sheet1!F353</f>
        <v>Data Engineer</v>
      </c>
      <c r="E359" s="2" t="str">
        <f>[1]Sheet1!Y352</f>
        <v>Senior-Level</v>
      </c>
      <c r="F359" s="2" t="str">
        <f>[1]Sheet1!Q353</f>
        <v>136994 $</v>
      </c>
      <c r="G359" s="3">
        <f>[1]Sheet1!I353</f>
        <v>136994</v>
      </c>
      <c r="H359" s="2" t="str">
        <f>[1]Sheet1!N353</f>
        <v>Full-Time</v>
      </c>
      <c r="I359" s="2" t="str">
        <f>[1]Sheet1!O353</f>
        <v>Contract</v>
      </c>
      <c r="J359" s="2" t="str">
        <f>[1]Sheet1!R353</f>
        <v>United States</v>
      </c>
      <c r="K359" s="2" t="str">
        <f>[1]Sheet1!S353</f>
        <v>United States</v>
      </c>
      <c r="L359" s="1"/>
    </row>
    <row r="360" spans="2:12">
      <c r="B360">
        <f>[1]Sheet1!B354</f>
        <v>351</v>
      </c>
      <c r="C360" s="2">
        <f>[1]Sheet1!C354</f>
        <v>2022</v>
      </c>
      <c r="D360" s="2" t="str">
        <f>[1]Sheet1!F354</f>
        <v>Data Engineer</v>
      </c>
      <c r="E360" s="2" t="str">
        <f>[1]Sheet1!Y353</f>
        <v>Senior-Level</v>
      </c>
      <c r="F360" s="2" t="str">
        <f>[1]Sheet1!Q354</f>
        <v>101570 $</v>
      </c>
      <c r="G360" s="3">
        <f>[1]Sheet1!I354</f>
        <v>101570</v>
      </c>
      <c r="H360" s="2" t="str">
        <f>[1]Sheet1!N354</f>
        <v>Full-Time</v>
      </c>
      <c r="I360" s="2" t="str">
        <f>[1]Sheet1!O354</f>
        <v>Contract</v>
      </c>
      <c r="J360" s="2" t="str">
        <f>[1]Sheet1!R354</f>
        <v>United States</v>
      </c>
      <c r="K360" s="2" t="str">
        <f>[1]Sheet1!S354</f>
        <v>United States</v>
      </c>
      <c r="L360" s="1"/>
    </row>
    <row r="361" spans="2:12">
      <c r="B361">
        <f>[1]Sheet1!B355</f>
        <v>352</v>
      </c>
      <c r="C361" s="2">
        <f>[1]Sheet1!C355</f>
        <v>2022</v>
      </c>
      <c r="D361" s="2" t="str">
        <f>[1]Sheet1!F355</f>
        <v>Data Analyst</v>
      </c>
      <c r="E361" s="2" t="str">
        <f>[1]Sheet1!Y354</f>
        <v>Senior-Level</v>
      </c>
      <c r="F361" s="2" t="str">
        <f>[1]Sheet1!Q355</f>
        <v>128875 $</v>
      </c>
      <c r="G361" s="3">
        <f>[1]Sheet1!I355</f>
        <v>128875</v>
      </c>
      <c r="H361" s="2" t="str">
        <f>[1]Sheet1!N355</f>
        <v>Full-Time</v>
      </c>
      <c r="I361" s="2" t="str">
        <f>[1]Sheet1!O355</f>
        <v>Contract</v>
      </c>
      <c r="J361" s="2" t="str">
        <f>[1]Sheet1!R355</f>
        <v>United States</v>
      </c>
      <c r="K361" s="2" t="str">
        <f>[1]Sheet1!S355</f>
        <v>United States</v>
      </c>
      <c r="L361" s="1"/>
    </row>
    <row r="362" spans="2:12">
      <c r="B362">
        <f>[1]Sheet1!B356</f>
        <v>353</v>
      </c>
      <c r="C362" s="2">
        <f>[1]Sheet1!C356</f>
        <v>2022</v>
      </c>
      <c r="D362" s="2" t="str">
        <f>[1]Sheet1!F356</f>
        <v>Data Analyst</v>
      </c>
      <c r="E362" s="2" t="str">
        <f>[1]Sheet1!Y355</f>
        <v>Senior-Level</v>
      </c>
      <c r="F362" s="2" t="str">
        <f>[1]Sheet1!Q356</f>
        <v>93700 $</v>
      </c>
      <c r="G362" s="3">
        <f>[1]Sheet1!I356</f>
        <v>93700</v>
      </c>
      <c r="H362" s="2" t="str">
        <f>[1]Sheet1!N356</f>
        <v>Full-Time</v>
      </c>
      <c r="I362" s="2" t="str">
        <f>[1]Sheet1!O356</f>
        <v>Contract</v>
      </c>
      <c r="J362" s="2" t="str">
        <f>[1]Sheet1!R356</f>
        <v>United States</v>
      </c>
      <c r="K362" s="2" t="str">
        <f>[1]Sheet1!S356</f>
        <v>United States</v>
      </c>
      <c r="L362" s="1"/>
    </row>
    <row r="363" spans="2:12">
      <c r="B363">
        <f>[1]Sheet1!B357</f>
        <v>354</v>
      </c>
      <c r="C363" s="2">
        <f>[1]Sheet1!C357</f>
        <v>2022</v>
      </c>
      <c r="D363" s="2" t="str">
        <f>[1]Sheet1!F357</f>
        <v>Head of Machine Learning</v>
      </c>
      <c r="E363" s="2" t="str">
        <f>[1]Sheet1!Y356</f>
        <v>Executive</v>
      </c>
      <c r="F363" s="2" t="str">
        <f>[1]Sheet1!Q357</f>
        <v>6000000 ₹</v>
      </c>
      <c r="G363" s="3">
        <f>[1]Sheet1!I357</f>
        <v>79039</v>
      </c>
      <c r="H363" s="2" t="str">
        <f>[1]Sheet1!N357</f>
        <v>Full-Time</v>
      </c>
      <c r="I363" s="2" t="str">
        <f>[1]Sheet1!O357</f>
        <v>Large</v>
      </c>
      <c r="J363" s="2" t="str">
        <f>[1]Sheet1!R357</f>
        <v>India</v>
      </c>
      <c r="K363" s="2" t="str">
        <f>[1]Sheet1!S357</f>
        <v>India</v>
      </c>
      <c r="L363" s="1"/>
    </row>
    <row r="364" spans="2:12">
      <c r="B364">
        <f>[1]Sheet1!B358</f>
        <v>355</v>
      </c>
      <c r="C364" s="2">
        <f>[1]Sheet1!C358</f>
        <v>2022</v>
      </c>
      <c r="D364" s="2" t="str">
        <f>[1]Sheet1!F358</f>
        <v>Machine Learning Engineer</v>
      </c>
      <c r="E364" s="2" t="str">
        <f>[1]Sheet1!Y357</f>
        <v>Entry-Level</v>
      </c>
      <c r="F364" s="2" t="str">
        <f>[1]Sheet1!Q358</f>
        <v>28500 £</v>
      </c>
      <c r="G364" s="3">
        <f>[1]Sheet1!I358</f>
        <v>37300</v>
      </c>
      <c r="H364" s="2" t="str">
        <f>[1]Sheet1!N358</f>
        <v>Full-Time</v>
      </c>
      <c r="I364" s="2" t="str">
        <f>[1]Sheet1!O358</f>
        <v>Large</v>
      </c>
      <c r="J364" s="2" t="str">
        <f>[1]Sheet1!R358</f>
        <v>United Kingdom</v>
      </c>
      <c r="K364" s="2" t="str">
        <f>[1]Sheet1!S358</f>
        <v>United Kingdom</v>
      </c>
      <c r="L364" s="1"/>
    </row>
    <row r="365" spans="2:12">
      <c r="B365">
        <f>[1]Sheet1!B359</f>
        <v>356</v>
      </c>
      <c r="C365" s="2">
        <f>[1]Sheet1!C359</f>
        <v>2022</v>
      </c>
      <c r="D365" s="2" t="str">
        <f>[1]Sheet1!F359</f>
        <v>Data Analyst</v>
      </c>
      <c r="E365" s="2" t="str">
        <f>[1]Sheet1!Y358</f>
        <v>Senior-Level</v>
      </c>
      <c r="F365" s="2" t="str">
        <f>[1]Sheet1!Q359</f>
        <v>164000 $</v>
      </c>
      <c r="G365" s="3">
        <f>[1]Sheet1!I359</f>
        <v>164000</v>
      </c>
      <c r="H365" s="2" t="str">
        <f>[1]Sheet1!N359</f>
        <v>Full-Time</v>
      </c>
      <c r="I365" s="2" t="str">
        <f>[1]Sheet1!O359</f>
        <v>Contract</v>
      </c>
      <c r="J365" s="2" t="str">
        <f>[1]Sheet1!R359</f>
        <v>United States</v>
      </c>
      <c r="K365" s="2" t="str">
        <f>[1]Sheet1!S359</f>
        <v>United States</v>
      </c>
      <c r="L365" s="1"/>
    </row>
    <row r="366" spans="2:12">
      <c r="B366">
        <f>[1]Sheet1!B360</f>
        <v>357</v>
      </c>
      <c r="C366" s="2">
        <f>[1]Sheet1!C360</f>
        <v>2022</v>
      </c>
      <c r="D366" s="2" t="str">
        <f>[1]Sheet1!F360</f>
        <v>Data Engineer</v>
      </c>
      <c r="E366" s="2" t="str">
        <f>[1]Sheet1!Y359</f>
        <v>Senior-Level</v>
      </c>
      <c r="F366" s="2" t="str">
        <f>[1]Sheet1!Q360</f>
        <v>155000 $</v>
      </c>
      <c r="G366" s="3">
        <f>[1]Sheet1!I360</f>
        <v>155000</v>
      </c>
      <c r="H366" s="2" t="str">
        <f>[1]Sheet1!N360</f>
        <v>Full-Time</v>
      </c>
      <c r="I366" s="2" t="str">
        <f>[1]Sheet1!O360</f>
        <v>Contract</v>
      </c>
      <c r="J366" s="2" t="str">
        <f>[1]Sheet1!R360</f>
        <v>United States</v>
      </c>
      <c r="K366" s="2" t="str">
        <f>[1]Sheet1!S360</f>
        <v>United States</v>
      </c>
      <c r="L366" s="1"/>
    </row>
    <row r="367" spans="2:12">
      <c r="B367">
        <f>[1]Sheet1!B361</f>
        <v>358</v>
      </c>
      <c r="C367" s="2">
        <f>[1]Sheet1!C361</f>
        <v>2022</v>
      </c>
      <c r="D367" s="2" t="str">
        <f>[1]Sheet1!F361</f>
        <v>Machine Learning Engineer</v>
      </c>
      <c r="E367" s="2" t="str">
        <f>[1]Sheet1!Y360</f>
        <v>Mid-Level</v>
      </c>
      <c r="F367" s="2" t="str">
        <f>[1]Sheet1!Q361</f>
        <v>95000 £</v>
      </c>
      <c r="G367" s="3">
        <f>[1]Sheet1!I361</f>
        <v>124333</v>
      </c>
      <c r="H367" s="2" t="str">
        <f>[1]Sheet1!N361</f>
        <v>Full-Time</v>
      </c>
      <c r="I367" s="2" t="str">
        <f>[1]Sheet1!O361</f>
        <v>Contract</v>
      </c>
      <c r="J367" s="2" t="str">
        <f>[1]Sheet1!R361</f>
        <v>United Kingdom</v>
      </c>
      <c r="K367" s="2" t="str">
        <f>[1]Sheet1!S361</f>
        <v>United Kingdom</v>
      </c>
      <c r="L367" s="1"/>
    </row>
    <row r="368" spans="2:12">
      <c r="B368">
        <f>[1]Sheet1!B362</f>
        <v>359</v>
      </c>
      <c r="C368" s="2">
        <f>[1]Sheet1!C362</f>
        <v>2022</v>
      </c>
      <c r="D368" s="2" t="str">
        <f>[1]Sheet1!F362</f>
        <v>Machine Learning Engineer</v>
      </c>
      <c r="E368" s="2" t="str">
        <f>[1]Sheet1!Y361</f>
        <v>Mid-Level</v>
      </c>
      <c r="F368" s="2" t="str">
        <f>[1]Sheet1!Q362</f>
        <v>75000 £</v>
      </c>
      <c r="G368" s="3">
        <f>[1]Sheet1!I362</f>
        <v>98158</v>
      </c>
      <c r="H368" s="2" t="str">
        <f>[1]Sheet1!N362</f>
        <v>Full-Time</v>
      </c>
      <c r="I368" s="2" t="str">
        <f>[1]Sheet1!O362</f>
        <v>Contract</v>
      </c>
      <c r="J368" s="2" t="str">
        <f>[1]Sheet1!R362</f>
        <v>United Kingdom</v>
      </c>
      <c r="K368" s="2" t="str">
        <f>[1]Sheet1!S362</f>
        <v>United Kingdom</v>
      </c>
      <c r="L368" s="1"/>
    </row>
    <row r="369" spans="2:12">
      <c r="B369">
        <f>[1]Sheet1!B363</f>
        <v>360</v>
      </c>
      <c r="C369" s="2">
        <f>[1]Sheet1!C363</f>
        <v>2022</v>
      </c>
      <c r="D369" s="2" t="str">
        <f>[1]Sheet1!F363</f>
        <v>AI Scientist</v>
      </c>
      <c r="E369" s="2" t="str">
        <f>[1]Sheet1!Y362</f>
        <v>Mid-Level</v>
      </c>
      <c r="F369" s="2" t="str">
        <f>[1]Sheet1!Q363</f>
        <v>120000 $</v>
      </c>
      <c r="G369" s="3">
        <f>[1]Sheet1!I363</f>
        <v>120000</v>
      </c>
      <c r="H369" s="2" t="str">
        <f>[1]Sheet1!N363</f>
        <v>Full-Time</v>
      </c>
      <c r="I369" s="2" t="str">
        <f>[1]Sheet1!O363</f>
        <v>Contract</v>
      </c>
      <c r="J369" s="2" t="str">
        <f>[1]Sheet1!R363</f>
        <v>United States</v>
      </c>
      <c r="K369" s="2" t="str">
        <f>[1]Sheet1!S363</f>
        <v>United States</v>
      </c>
      <c r="L369" s="1"/>
    </row>
    <row r="370" spans="2:12">
      <c r="B370">
        <f>[1]Sheet1!B364</f>
        <v>361</v>
      </c>
      <c r="C370" s="2">
        <f>[1]Sheet1!C364</f>
        <v>2022</v>
      </c>
      <c r="D370" s="2" t="str">
        <f>[1]Sheet1!F364</f>
        <v>Data Analytics Manager</v>
      </c>
      <c r="E370" s="2" t="str">
        <f>[1]Sheet1!Y363</f>
        <v>Senior-Level</v>
      </c>
      <c r="F370" s="2" t="str">
        <f>[1]Sheet1!Q364</f>
        <v>145000 $</v>
      </c>
      <c r="G370" s="3">
        <f>[1]Sheet1!I364</f>
        <v>145000</v>
      </c>
      <c r="H370" s="2" t="str">
        <f>[1]Sheet1!N364</f>
        <v>Full-Time</v>
      </c>
      <c r="I370" s="2" t="str">
        <f>[1]Sheet1!O364</f>
        <v>Contract</v>
      </c>
      <c r="J370" s="2" t="str">
        <f>[1]Sheet1!R364</f>
        <v>United States</v>
      </c>
      <c r="K370" s="2" t="str">
        <f>[1]Sheet1!S364</f>
        <v>United States</v>
      </c>
      <c r="L370" s="1"/>
    </row>
    <row r="371" spans="2:12">
      <c r="B371">
        <f>[1]Sheet1!B365</f>
        <v>362</v>
      </c>
      <c r="C371" s="2">
        <f>[1]Sheet1!C365</f>
        <v>2022</v>
      </c>
      <c r="D371" s="2" t="str">
        <f>[1]Sheet1!F365</f>
        <v>Data Analytics Manager</v>
      </c>
      <c r="E371" s="2" t="str">
        <f>[1]Sheet1!Y364</f>
        <v>Senior-Level</v>
      </c>
      <c r="F371" s="2" t="str">
        <f>[1]Sheet1!Q365</f>
        <v>105400 $</v>
      </c>
      <c r="G371" s="3">
        <f>[1]Sheet1!I365</f>
        <v>105400</v>
      </c>
      <c r="H371" s="2" t="str">
        <f>[1]Sheet1!N365</f>
        <v>Full-Time</v>
      </c>
      <c r="I371" s="2" t="str">
        <f>[1]Sheet1!O365</f>
        <v>Contract</v>
      </c>
      <c r="J371" s="2" t="str">
        <f>[1]Sheet1!R365</f>
        <v>United States</v>
      </c>
      <c r="K371" s="2" t="str">
        <f>[1]Sheet1!S365</f>
        <v>United States</v>
      </c>
      <c r="L371" s="1"/>
    </row>
    <row r="372" spans="2:12">
      <c r="B372">
        <f>[1]Sheet1!B366</f>
        <v>363</v>
      </c>
      <c r="C372" s="2">
        <f>[1]Sheet1!C366</f>
        <v>2022</v>
      </c>
      <c r="D372" s="2" t="str">
        <f>[1]Sheet1!F366</f>
        <v>Machine Learning Engineer</v>
      </c>
      <c r="E372" s="2" t="str">
        <f>[1]Sheet1!Y365</f>
        <v>Mid-Level</v>
      </c>
      <c r="F372" s="2" t="str">
        <f>[1]Sheet1!Q366</f>
        <v>80000 €</v>
      </c>
      <c r="G372" s="3">
        <f>[1]Sheet1!I366</f>
        <v>87932</v>
      </c>
      <c r="H372" s="2" t="str">
        <f>[1]Sheet1!N366</f>
        <v>Full-Time</v>
      </c>
      <c r="I372" s="2" t="str">
        <f>[1]Sheet1!O366</f>
        <v>Contract</v>
      </c>
      <c r="J372" s="2" t="str">
        <f>[1]Sheet1!R366</f>
        <v>France</v>
      </c>
      <c r="K372" s="2" t="str">
        <f>[1]Sheet1!S366</f>
        <v>Germany</v>
      </c>
      <c r="L372" s="1"/>
    </row>
    <row r="373" spans="2:12">
      <c r="B373">
        <f>[1]Sheet1!B367</f>
        <v>364</v>
      </c>
      <c r="C373" s="2">
        <f>[1]Sheet1!C367</f>
        <v>2022</v>
      </c>
      <c r="D373" s="2" t="str">
        <f>[1]Sheet1!F367</f>
        <v>Data Engineer</v>
      </c>
      <c r="E373" s="2" t="str">
        <f>[1]Sheet1!Y366</f>
        <v>Mid-Level</v>
      </c>
      <c r="F373" s="2" t="str">
        <f>[1]Sheet1!Q367</f>
        <v>90000 £</v>
      </c>
      <c r="G373" s="3">
        <f>[1]Sheet1!I367</f>
        <v>117789</v>
      </c>
      <c r="H373" s="2" t="str">
        <f>[1]Sheet1!N367</f>
        <v>Full-Time</v>
      </c>
      <c r="I373" s="2" t="str">
        <f>[1]Sheet1!O367</f>
        <v>Contract</v>
      </c>
      <c r="J373" s="2" t="str">
        <f>[1]Sheet1!R367</f>
        <v>United Kingdom</v>
      </c>
      <c r="K373" s="2" t="str">
        <f>[1]Sheet1!S367</f>
        <v>United Kingdom</v>
      </c>
      <c r="L373" s="1"/>
    </row>
    <row r="374" spans="2:12">
      <c r="B374">
        <f>[1]Sheet1!B368</f>
        <v>365</v>
      </c>
      <c r="C374" s="2">
        <f>[1]Sheet1!C368</f>
        <v>2022</v>
      </c>
      <c r="D374" s="2" t="str">
        <f>[1]Sheet1!F368</f>
        <v>Data Scientist</v>
      </c>
      <c r="E374" s="2" t="str">
        <f>[1]Sheet1!Y367</f>
        <v>Senior-Level</v>
      </c>
      <c r="F374" s="2" t="str">
        <f>[1]Sheet1!Q368</f>
        <v>215300 $</v>
      </c>
      <c r="G374" s="3">
        <f>[1]Sheet1!I368</f>
        <v>215300</v>
      </c>
      <c r="H374" s="2" t="str">
        <f>[1]Sheet1!N368</f>
        <v>Full-Time</v>
      </c>
      <c r="I374" s="2" t="str">
        <f>[1]Sheet1!O368</f>
        <v>Large</v>
      </c>
      <c r="J374" s="2" t="str">
        <f>[1]Sheet1!R368</f>
        <v>United States</v>
      </c>
      <c r="K374" s="2" t="str">
        <f>[1]Sheet1!S368</f>
        <v>United States</v>
      </c>
      <c r="L374" s="1"/>
    </row>
    <row r="375" spans="2:12">
      <c r="B375">
        <f>[1]Sheet1!B369</f>
        <v>366</v>
      </c>
      <c r="C375" s="2">
        <f>[1]Sheet1!C369</f>
        <v>2022</v>
      </c>
      <c r="D375" s="2" t="str">
        <f>[1]Sheet1!F369</f>
        <v>Data Scientist</v>
      </c>
      <c r="E375" s="2" t="str">
        <f>[1]Sheet1!Y368</f>
        <v>Senior-Level</v>
      </c>
      <c r="F375" s="2" t="str">
        <f>[1]Sheet1!Q369</f>
        <v>158200 $</v>
      </c>
      <c r="G375" s="3">
        <f>[1]Sheet1!I369</f>
        <v>158200</v>
      </c>
      <c r="H375" s="2" t="str">
        <f>[1]Sheet1!N369</f>
        <v>Full-Time</v>
      </c>
      <c r="I375" s="2" t="str">
        <f>[1]Sheet1!O369</f>
        <v>Large</v>
      </c>
      <c r="J375" s="2" t="str">
        <f>[1]Sheet1!R369</f>
        <v>United States</v>
      </c>
      <c r="K375" s="2" t="str">
        <f>[1]Sheet1!S369</f>
        <v>United States</v>
      </c>
      <c r="L375" s="1"/>
    </row>
    <row r="376" spans="2:12">
      <c r="B376">
        <f>[1]Sheet1!B370</f>
        <v>367</v>
      </c>
      <c r="C376" s="2">
        <f>[1]Sheet1!C370</f>
        <v>2022</v>
      </c>
      <c r="D376" s="2" t="str">
        <f>[1]Sheet1!F370</f>
        <v>Data Engineer</v>
      </c>
      <c r="E376" s="2" t="str">
        <f>[1]Sheet1!Y369</f>
        <v>Senior-Level</v>
      </c>
      <c r="F376" s="2" t="str">
        <f>[1]Sheet1!Q370</f>
        <v>209100 $</v>
      </c>
      <c r="G376" s="3">
        <f>[1]Sheet1!I370</f>
        <v>209100</v>
      </c>
      <c r="H376" s="2" t="str">
        <f>[1]Sheet1!N370</f>
        <v>Full-Time</v>
      </c>
      <c r="I376" s="2" t="str">
        <f>[1]Sheet1!O370</f>
        <v>Large</v>
      </c>
      <c r="J376" s="2" t="str">
        <f>[1]Sheet1!R370</f>
        <v>United States</v>
      </c>
      <c r="K376" s="2" t="str">
        <f>[1]Sheet1!S370</f>
        <v>United States</v>
      </c>
      <c r="L376" s="1"/>
    </row>
    <row r="377" spans="2:12">
      <c r="B377">
        <f>[1]Sheet1!B371</f>
        <v>368</v>
      </c>
      <c r="C377" s="2">
        <f>[1]Sheet1!C371</f>
        <v>2022</v>
      </c>
      <c r="D377" s="2" t="str">
        <f>[1]Sheet1!F371</f>
        <v>Data Engineer</v>
      </c>
      <c r="E377" s="2" t="str">
        <f>[1]Sheet1!Y370</f>
        <v>Senior-Level</v>
      </c>
      <c r="F377" s="2" t="str">
        <f>[1]Sheet1!Q371</f>
        <v>154600 $</v>
      </c>
      <c r="G377" s="3">
        <f>[1]Sheet1!I371</f>
        <v>154600</v>
      </c>
      <c r="H377" s="2" t="str">
        <f>[1]Sheet1!N371</f>
        <v>Full-Time</v>
      </c>
      <c r="I377" s="2" t="str">
        <f>[1]Sheet1!O371</f>
        <v>Large</v>
      </c>
      <c r="J377" s="2" t="str">
        <f>[1]Sheet1!R371</f>
        <v>United States</v>
      </c>
      <c r="K377" s="2" t="str">
        <f>[1]Sheet1!S371</f>
        <v>United States</v>
      </c>
      <c r="L377" s="1"/>
    </row>
    <row r="378" spans="2:12">
      <c r="B378">
        <f>[1]Sheet1!B372</f>
        <v>369</v>
      </c>
      <c r="C378" s="2">
        <f>[1]Sheet1!C372</f>
        <v>2022</v>
      </c>
      <c r="D378" s="2" t="str">
        <f>[1]Sheet1!F372</f>
        <v>Data Analyst</v>
      </c>
      <c r="E378" s="2" t="str">
        <f>[1]Sheet1!Y371</f>
        <v>Senior-Level</v>
      </c>
      <c r="F378" s="2" t="str">
        <f>[1]Sheet1!Q372</f>
        <v>115934 $</v>
      </c>
      <c r="G378" s="3">
        <f>[1]Sheet1!I372</f>
        <v>115934</v>
      </c>
      <c r="H378" s="2" t="str">
        <f>[1]Sheet1!N372</f>
        <v>Full-Time</v>
      </c>
      <c r="I378" s="2" t="str">
        <f>[1]Sheet1!O372</f>
        <v>Contract</v>
      </c>
      <c r="J378" s="2" t="str">
        <f>[1]Sheet1!R372</f>
        <v>United States</v>
      </c>
      <c r="K378" s="2" t="str">
        <f>[1]Sheet1!S372</f>
        <v>United States</v>
      </c>
      <c r="L378" s="1"/>
    </row>
    <row r="379" spans="2:12">
      <c r="B379">
        <f>[1]Sheet1!B373</f>
        <v>370</v>
      </c>
      <c r="C379" s="2">
        <f>[1]Sheet1!C373</f>
        <v>2022</v>
      </c>
      <c r="D379" s="2" t="str">
        <f>[1]Sheet1!F373</f>
        <v>Data Analyst</v>
      </c>
      <c r="E379" s="2" t="str">
        <f>[1]Sheet1!Y372</f>
        <v>Senior-Level</v>
      </c>
      <c r="F379" s="2" t="str">
        <f>[1]Sheet1!Q373</f>
        <v>81666 $</v>
      </c>
      <c r="G379" s="3">
        <f>[1]Sheet1!I373</f>
        <v>81666</v>
      </c>
      <c r="H379" s="2" t="str">
        <f>[1]Sheet1!N373</f>
        <v>Full-Time</v>
      </c>
      <c r="I379" s="2" t="str">
        <f>[1]Sheet1!O373</f>
        <v>Contract</v>
      </c>
      <c r="J379" s="2" t="str">
        <f>[1]Sheet1!R373</f>
        <v>United States</v>
      </c>
      <c r="K379" s="2" t="str">
        <f>[1]Sheet1!S373</f>
        <v>United States</v>
      </c>
      <c r="L379" s="1"/>
    </row>
    <row r="380" spans="2:12">
      <c r="B380">
        <f>[1]Sheet1!B374</f>
        <v>371</v>
      </c>
      <c r="C380" s="2">
        <f>[1]Sheet1!C374</f>
        <v>2022</v>
      </c>
      <c r="D380" s="2" t="str">
        <f>[1]Sheet1!F374</f>
        <v>Data Engineer</v>
      </c>
      <c r="E380" s="2" t="str">
        <f>[1]Sheet1!Y373</f>
        <v>Senior-Level</v>
      </c>
      <c r="F380" s="2" t="str">
        <f>[1]Sheet1!Q374</f>
        <v>175000 $</v>
      </c>
      <c r="G380" s="3">
        <f>[1]Sheet1!I374</f>
        <v>175000</v>
      </c>
      <c r="H380" s="2" t="str">
        <f>[1]Sheet1!N374</f>
        <v>Full-Time</v>
      </c>
      <c r="I380" s="2" t="str">
        <f>[1]Sheet1!O374</f>
        <v>Contract</v>
      </c>
      <c r="J380" s="2" t="str">
        <f>[1]Sheet1!R374</f>
        <v>United States</v>
      </c>
      <c r="K380" s="2" t="str">
        <f>[1]Sheet1!S374</f>
        <v>United States</v>
      </c>
      <c r="L380" s="1"/>
    </row>
    <row r="381" spans="2:12">
      <c r="B381">
        <f>[1]Sheet1!B375</f>
        <v>372</v>
      </c>
      <c r="C381" s="2">
        <f>[1]Sheet1!C375</f>
        <v>2022</v>
      </c>
      <c r="D381" s="2" t="str">
        <f>[1]Sheet1!F375</f>
        <v>Data Engineer</v>
      </c>
      <c r="E381" s="2" t="str">
        <f>[1]Sheet1!Y374</f>
        <v>Mid-Level</v>
      </c>
      <c r="F381" s="2" t="str">
        <f>[1]Sheet1!Q375</f>
        <v>75000 £</v>
      </c>
      <c r="G381" s="3">
        <f>[1]Sheet1!I375</f>
        <v>98158</v>
      </c>
      <c r="H381" s="2" t="str">
        <f>[1]Sheet1!N375</f>
        <v>Full-Time</v>
      </c>
      <c r="I381" s="2" t="str">
        <f>[1]Sheet1!O375</f>
        <v>Contract</v>
      </c>
      <c r="J381" s="2" t="str">
        <f>[1]Sheet1!R375</f>
        <v>United Kingdom</v>
      </c>
      <c r="K381" s="2" t="str">
        <f>[1]Sheet1!S375</f>
        <v>United Kingdom</v>
      </c>
      <c r="L381" s="1"/>
    </row>
    <row r="382" spans="2:12">
      <c r="B382">
        <f>[1]Sheet1!B376</f>
        <v>373</v>
      </c>
      <c r="C382" s="2">
        <f>[1]Sheet1!C376</f>
        <v>2022</v>
      </c>
      <c r="D382" s="2" t="str">
        <f>[1]Sheet1!F376</f>
        <v>Data Engineer</v>
      </c>
      <c r="E382" s="2" t="str">
        <f>[1]Sheet1!Y375</f>
        <v>Senior-Level</v>
      </c>
      <c r="F382" s="2" t="str">
        <f>[1]Sheet1!Q376</f>
        <v>183600 $</v>
      </c>
      <c r="G382" s="3">
        <f>[1]Sheet1!I376</f>
        <v>183600</v>
      </c>
      <c r="H382" s="2" t="str">
        <f>[1]Sheet1!N376</f>
        <v>Full-Time</v>
      </c>
      <c r="I382" s="2" t="str">
        <f>[1]Sheet1!O376</f>
        <v>Large</v>
      </c>
      <c r="J382" s="2" t="str">
        <f>[1]Sheet1!R376</f>
        <v>United States</v>
      </c>
      <c r="K382" s="2" t="str">
        <f>[1]Sheet1!S376</f>
        <v>United States</v>
      </c>
      <c r="L382" s="1"/>
    </row>
    <row r="383" spans="2:12">
      <c r="B383">
        <f>[1]Sheet1!B377</f>
        <v>374</v>
      </c>
      <c r="C383" s="2">
        <f>[1]Sheet1!C377</f>
        <v>2022</v>
      </c>
      <c r="D383" s="2" t="str">
        <f>[1]Sheet1!F377</f>
        <v>Data Analyst</v>
      </c>
      <c r="E383" s="2" t="str">
        <f>[1]Sheet1!Y376</f>
        <v>Mid-Level</v>
      </c>
      <c r="F383" s="2" t="str">
        <f>[1]Sheet1!Q377</f>
        <v>40000 £</v>
      </c>
      <c r="G383" s="3">
        <f>[1]Sheet1!I377</f>
        <v>52351</v>
      </c>
      <c r="H383" s="2" t="str">
        <f>[1]Sheet1!N377</f>
        <v>Full-Time</v>
      </c>
      <c r="I383" s="2" t="str">
        <f>[1]Sheet1!O377</f>
        <v>Contract</v>
      </c>
      <c r="J383" s="2" t="str">
        <f>[1]Sheet1!R377</f>
        <v>United Kingdom</v>
      </c>
      <c r="K383" s="2" t="str">
        <f>[1]Sheet1!S377</f>
        <v>United Kingdom</v>
      </c>
      <c r="L383" s="1"/>
    </row>
    <row r="384" spans="2:12">
      <c r="B384">
        <f>[1]Sheet1!B378</f>
        <v>375</v>
      </c>
      <c r="C384" s="2">
        <f>[1]Sheet1!C378</f>
        <v>2022</v>
      </c>
      <c r="D384" s="2" t="str">
        <f>[1]Sheet1!F378</f>
        <v>Data Scientist</v>
      </c>
      <c r="E384" s="2" t="str">
        <f>[1]Sheet1!Y377</f>
        <v>Mid-Level</v>
      </c>
      <c r="F384" s="2" t="str">
        <f>[1]Sheet1!Q378</f>
        <v>55000 £</v>
      </c>
      <c r="G384" s="3">
        <f>[1]Sheet1!I378</f>
        <v>71982</v>
      </c>
      <c r="H384" s="2" t="str">
        <f>[1]Sheet1!N378</f>
        <v>Full-Time</v>
      </c>
      <c r="I384" s="2" t="str">
        <f>[1]Sheet1!O378</f>
        <v>Contract</v>
      </c>
      <c r="J384" s="2" t="str">
        <f>[1]Sheet1!R378</f>
        <v>United Kingdom</v>
      </c>
      <c r="K384" s="2" t="str">
        <f>[1]Sheet1!S378</f>
        <v>United Kingdom</v>
      </c>
      <c r="L384" s="1"/>
    </row>
    <row r="385" spans="2:12">
      <c r="B385">
        <f>[1]Sheet1!B379</f>
        <v>376</v>
      </c>
      <c r="C385" s="2">
        <f>[1]Sheet1!C379</f>
        <v>2022</v>
      </c>
      <c r="D385" s="2" t="str">
        <f>[1]Sheet1!F379</f>
        <v>Data Scientist</v>
      </c>
      <c r="E385" s="2" t="str">
        <f>[1]Sheet1!Y378</f>
        <v>Mid-Level</v>
      </c>
      <c r="F385" s="2" t="str">
        <f>[1]Sheet1!Q379</f>
        <v>35000 £</v>
      </c>
      <c r="G385" s="3">
        <f>[1]Sheet1!I379</f>
        <v>45807</v>
      </c>
      <c r="H385" s="2" t="str">
        <f>[1]Sheet1!N379</f>
        <v>Full-Time</v>
      </c>
      <c r="I385" s="2" t="str">
        <f>[1]Sheet1!O379</f>
        <v>Contract</v>
      </c>
      <c r="J385" s="2" t="str">
        <f>[1]Sheet1!R379</f>
        <v>United Kingdom</v>
      </c>
      <c r="K385" s="2" t="str">
        <f>[1]Sheet1!S379</f>
        <v>United Kingdom</v>
      </c>
      <c r="L385" s="1"/>
    </row>
    <row r="386" spans="2:12">
      <c r="B386">
        <f>[1]Sheet1!B380</f>
        <v>377</v>
      </c>
      <c r="C386" s="2">
        <f>[1]Sheet1!C380</f>
        <v>2022</v>
      </c>
      <c r="D386" s="2" t="str">
        <f>[1]Sheet1!F380</f>
        <v>Data Engineer</v>
      </c>
      <c r="E386" s="2" t="str">
        <f>[1]Sheet1!Y379</f>
        <v>Mid-Level</v>
      </c>
      <c r="F386" s="2" t="str">
        <f>[1]Sheet1!Q380</f>
        <v>60000 €</v>
      </c>
      <c r="G386" s="3">
        <f>[1]Sheet1!I380</f>
        <v>65949</v>
      </c>
      <c r="H386" s="2" t="str">
        <f>[1]Sheet1!N380</f>
        <v>Full-Time</v>
      </c>
      <c r="I386" s="2" t="str">
        <f>[1]Sheet1!O380</f>
        <v>Contract</v>
      </c>
      <c r="J386" s="2" t="str">
        <f>[1]Sheet1!R380</f>
        <v>Greece</v>
      </c>
      <c r="K386" s="2" t="str">
        <f>[1]Sheet1!S380</f>
        <v>Greece</v>
      </c>
      <c r="L386" s="1"/>
    </row>
    <row r="387" spans="2:12">
      <c r="B387">
        <f>[1]Sheet1!B381</f>
        <v>378</v>
      </c>
      <c r="C387" s="2">
        <f>[1]Sheet1!C381</f>
        <v>2022</v>
      </c>
      <c r="D387" s="2" t="str">
        <f>[1]Sheet1!F381</f>
        <v>Data Engineer</v>
      </c>
      <c r="E387" s="2" t="str">
        <f>[1]Sheet1!Y380</f>
        <v>Mid-Level</v>
      </c>
      <c r="F387" s="2" t="str">
        <f>[1]Sheet1!Q381</f>
        <v>45000 €</v>
      </c>
      <c r="G387" s="3">
        <f>[1]Sheet1!I381</f>
        <v>49461</v>
      </c>
      <c r="H387" s="2" t="str">
        <f>[1]Sheet1!N381</f>
        <v>Full-Time</v>
      </c>
      <c r="I387" s="2" t="str">
        <f>[1]Sheet1!O381</f>
        <v>Contract</v>
      </c>
      <c r="J387" s="2" t="str">
        <f>[1]Sheet1!R381</f>
        <v>Greece</v>
      </c>
      <c r="K387" s="2" t="str">
        <f>[1]Sheet1!S381</f>
        <v>Greece</v>
      </c>
      <c r="L387" s="1"/>
    </row>
    <row r="388" spans="2:12">
      <c r="B388">
        <f>[1]Sheet1!B382</f>
        <v>379</v>
      </c>
      <c r="C388" s="2">
        <f>[1]Sheet1!C382</f>
        <v>2022</v>
      </c>
      <c r="D388" s="2" t="str">
        <f>[1]Sheet1!F382</f>
        <v>Data Engineer</v>
      </c>
      <c r="E388" s="2" t="str">
        <f>[1]Sheet1!Y381</f>
        <v>Mid-Level</v>
      </c>
      <c r="F388" s="2" t="str">
        <f>[1]Sheet1!Q382</f>
        <v>45000 £</v>
      </c>
      <c r="G388" s="3">
        <f>[1]Sheet1!I382</f>
        <v>58894</v>
      </c>
      <c r="H388" s="2" t="str">
        <f>[1]Sheet1!N382</f>
        <v>Full-Time</v>
      </c>
      <c r="I388" s="2" t="str">
        <f>[1]Sheet1!O382</f>
        <v>Contract</v>
      </c>
      <c r="J388" s="2" t="str">
        <f>[1]Sheet1!R382</f>
        <v>United Kingdom</v>
      </c>
      <c r="K388" s="2" t="str">
        <f>[1]Sheet1!S382</f>
        <v>United Kingdom</v>
      </c>
      <c r="L388" s="1"/>
    </row>
    <row r="389" spans="2:12">
      <c r="B389">
        <f>[1]Sheet1!B383</f>
        <v>380</v>
      </c>
      <c r="C389" s="2">
        <f>[1]Sheet1!C383</f>
        <v>2022</v>
      </c>
      <c r="D389" s="2" t="str">
        <f>[1]Sheet1!F383</f>
        <v>Data Scientist</v>
      </c>
      <c r="E389" s="2" t="str">
        <f>[1]Sheet1!Y382</f>
        <v>Senior-Level</v>
      </c>
      <c r="F389" s="2" t="str">
        <f>[1]Sheet1!Q383</f>
        <v>260000 $</v>
      </c>
      <c r="G389" s="3">
        <f>[1]Sheet1!I383</f>
        <v>260000</v>
      </c>
      <c r="H389" s="2" t="str">
        <f>[1]Sheet1!N383</f>
        <v>Full-Time</v>
      </c>
      <c r="I389" s="2" t="str">
        <f>[1]Sheet1!O383</f>
        <v>Contract</v>
      </c>
      <c r="J389" s="2" t="str">
        <f>[1]Sheet1!R383</f>
        <v>United States</v>
      </c>
      <c r="K389" s="2" t="str">
        <f>[1]Sheet1!S383</f>
        <v>United States</v>
      </c>
      <c r="L389" s="1"/>
    </row>
    <row r="390" spans="2:12">
      <c r="B390">
        <f>[1]Sheet1!B384</f>
        <v>381</v>
      </c>
      <c r="C390" s="2">
        <f>[1]Sheet1!C384</f>
        <v>2022</v>
      </c>
      <c r="D390" s="2" t="str">
        <f>[1]Sheet1!F384</f>
        <v>Data Science Engineer</v>
      </c>
      <c r="E390" s="2" t="str">
        <f>[1]Sheet1!Y383</f>
        <v>Senior-Level</v>
      </c>
      <c r="F390" s="2" t="str">
        <f>[1]Sheet1!Q384</f>
        <v>60000 $</v>
      </c>
      <c r="G390" s="3">
        <f>[1]Sheet1!I384</f>
        <v>60000</v>
      </c>
      <c r="H390" s="2" t="str">
        <f>[1]Sheet1!N384</f>
        <v>Full-Time</v>
      </c>
      <c r="I390" s="2" t="str">
        <f>[1]Sheet1!O384</f>
        <v>Large</v>
      </c>
      <c r="J390" s="2" t="str">
        <f>[1]Sheet1!R384</f>
        <v>Argentina</v>
      </c>
      <c r="K390" s="2" t="str">
        <f>[1]Sheet1!S384</f>
        <v>Mexico</v>
      </c>
      <c r="L390" s="1"/>
    </row>
    <row r="391" spans="2:12">
      <c r="B391">
        <f>[1]Sheet1!B385</f>
        <v>382</v>
      </c>
      <c r="C391" s="2">
        <f>[1]Sheet1!C385</f>
        <v>2022</v>
      </c>
      <c r="D391" s="2" t="str">
        <f>[1]Sheet1!F385</f>
        <v>Data Engineer</v>
      </c>
      <c r="E391" s="2" t="str">
        <f>[1]Sheet1!Y384</f>
        <v>Mid-Level</v>
      </c>
      <c r="F391" s="2" t="str">
        <f>[1]Sheet1!Q385</f>
        <v>63900 $</v>
      </c>
      <c r="G391" s="3">
        <f>[1]Sheet1!I385</f>
        <v>63900</v>
      </c>
      <c r="H391" s="2" t="str">
        <f>[1]Sheet1!N385</f>
        <v>Full-Time</v>
      </c>
      <c r="I391" s="2" t="str">
        <f>[1]Sheet1!O385</f>
        <v>Contract</v>
      </c>
      <c r="J391" s="2" t="str">
        <f>[1]Sheet1!R385</f>
        <v>United States</v>
      </c>
      <c r="K391" s="2" t="str">
        <f>[1]Sheet1!S385</f>
        <v>United States</v>
      </c>
      <c r="L391" s="1"/>
    </row>
    <row r="392" spans="2:12">
      <c r="B392">
        <f>[1]Sheet1!B386</f>
        <v>383</v>
      </c>
      <c r="C392" s="2">
        <f>[1]Sheet1!C386</f>
        <v>2022</v>
      </c>
      <c r="D392" s="2" t="str">
        <f>[1]Sheet1!F386</f>
        <v>Machine Learning Scientist</v>
      </c>
      <c r="E392" s="2" t="str">
        <f>[1]Sheet1!Y385</f>
        <v>Mid-Level</v>
      </c>
      <c r="F392" s="2" t="str">
        <f>[1]Sheet1!Q386</f>
        <v>160000 $</v>
      </c>
      <c r="G392" s="3">
        <f>[1]Sheet1!I386</f>
        <v>160000</v>
      </c>
      <c r="H392" s="2" t="str">
        <f>[1]Sheet1!N386</f>
        <v>Full-Time</v>
      </c>
      <c r="I392" s="2" t="str">
        <f>[1]Sheet1!O386</f>
        <v>Large</v>
      </c>
      <c r="J392" s="2" t="str">
        <f>[1]Sheet1!R386</f>
        <v>United States</v>
      </c>
      <c r="K392" s="2" t="str">
        <f>[1]Sheet1!S386</f>
        <v>United States</v>
      </c>
      <c r="L392" s="1"/>
    </row>
    <row r="393" spans="2:12">
      <c r="B393">
        <f>[1]Sheet1!B387</f>
        <v>384</v>
      </c>
      <c r="C393" s="2">
        <f>[1]Sheet1!C387</f>
        <v>2022</v>
      </c>
      <c r="D393" s="2" t="str">
        <f>[1]Sheet1!F387</f>
        <v>Machine Learning Scientist</v>
      </c>
      <c r="E393" s="2" t="str">
        <f>[1]Sheet1!Y386</f>
        <v>Mid-Level</v>
      </c>
      <c r="F393" s="2" t="str">
        <f>[1]Sheet1!Q387</f>
        <v>112300 $</v>
      </c>
      <c r="G393" s="3">
        <f>[1]Sheet1!I387</f>
        <v>112300</v>
      </c>
      <c r="H393" s="2" t="str">
        <f>[1]Sheet1!N387</f>
        <v>Full-Time</v>
      </c>
      <c r="I393" s="2" t="str">
        <f>[1]Sheet1!O387</f>
        <v>Large</v>
      </c>
      <c r="J393" s="2" t="str">
        <f>[1]Sheet1!R387</f>
        <v>United States</v>
      </c>
      <c r="K393" s="2" t="str">
        <f>[1]Sheet1!S387</f>
        <v>United States</v>
      </c>
      <c r="L393" s="1"/>
    </row>
    <row r="394" spans="2:12">
      <c r="B394">
        <f>[1]Sheet1!B388</f>
        <v>385</v>
      </c>
      <c r="C394" s="2">
        <f>[1]Sheet1!C388</f>
        <v>2022</v>
      </c>
      <c r="D394" s="2" t="str">
        <f>[1]Sheet1!F388</f>
        <v>Data Science Manager</v>
      </c>
      <c r="E394" s="2" t="str">
        <f>[1]Sheet1!Y387</f>
        <v>Mid-Level</v>
      </c>
      <c r="F394" s="2" t="str">
        <f>[1]Sheet1!Q388</f>
        <v>241000 $</v>
      </c>
      <c r="G394" s="3">
        <f>[1]Sheet1!I388</f>
        <v>241000</v>
      </c>
      <c r="H394" s="2" t="str">
        <f>[1]Sheet1!N388</f>
        <v>Full-Time</v>
      </c>
      <c r="I394" s="2" t="str">
        <f>[1]Sheet1!O388</f>
        <v>Contract</v>
      </c>
      <c r="J394" s="2" t="str">
        <f>[1]Sheet1!R388</f>
        <v>United States</v>
      </c>
      <c r="K394" s="2" t="str">
        <f>[1]Sheet1!S388</f>
        <v>United States</v>
      </c>
      <c r="L394" s="1"/>
    </row>
    <row r="395" spans="2:12">
      <c r="B395">
        <f>[1]Sheet1!B389</f>
        <v>386</v>
      </c>
      <c r="C395" s="2">
        <f>[1]Sheet1!C389</f>
        <v>2022</v>
      </c>
      <c r="D395" s="2" t="str">
        <f>[1]Sheet1!F389</f>
        <v>Data Science Manager</v>
      </c>
      <c r="E395" s="2" t="str">
        <f>[1]Sheet1!Y388</f>
        <v>Mid-Level</v>
      </c>
      <c r="F395" s="2" t="str">
        <f>[1]Sheet1!Q389</f>
        <v>159000 $</v>
      </c>
      <c r="G395" s="3">
        <f>[1]Sheet1!I389</f>
        <v>159000</v>
      </c>
      <c r="H395" s="2" t="str">
        <f>[1]Sheet1!N389</f>
        <v>Full-Time</v>
      </c>
      <c r="I395" s="2" t="str">
        <f>[1]Sheet1!O389</f>
        <v>Contract</v>
      </c>
      <c r="J395" s="2" t="str">
        <f>[1]Sheet1!R389</f>
        <v>United States</v>
      </c>
      <c r="K395" s="2" t="str">
        <f>[1]Sheet1!S389</f>
        <v>United States</v>
      </c>
      <c r="L395" s="1"/>
    </row>
    <row r="396" spans="2:12">
      <c r="B396">
        <f>[1]Sheet1!B390</f>
        <v>387</v>
      </c>
      <c r="C396" s="2">
        <f>[1]Sheet1!C390</f>
        <v>2022</v>
      </c>
      <c r="D396" s="2" t="str">
        <f>[1]Sheet1!F390</f>
        <v>Data Engineer</v>
      </c>
      <c r="E396" s="2" t="str">
        <f>[1]Sheet1!Y389</f>
        <v>Mid-Level</v>
      </c>
      <c r="F396" s="2" t="str">
        <f>[1]Sheet1!Q390</f>
        <v>82900 $</v>
      </c>
      <c r="G396" s="3">
        <f>[1]Sheet1!I390</f>
        <v>82900</v>
      </c>
      <c r="H396" s="2" t="str">
        <f>[1]Sheet1!N390</f>
        <v>Full-Time</v>
      </c>
      <c r="I396" s="2" t="str">
        <f>[1]Sheet1!O390</f>
        <v>Contract</v>
      </c>
      <c r="J396" s="2" t="str">
        <f>[1]Sheet1!R390</f>
        <v>United States</v>
      </c>
      <c r="K396" s="2" t="str">
        <f>[1]Sheet1!S390</f>
        <v>United States</v>
      </c>
      <c r="L396" s="1"/>
    </row>
    <row r="397" spans="2:12">
      <c r="B397">
        <f>[1]Sheet1!B391</f>
        <v>388</v>
      </c>
      <c r="C397" s="2">
        <f>[1]Sheet1!C391</f>
        <v>2022</v>
      </c>
      <c r="D397" s="2" t="str">
        <f>[1]Sheet1!F391</f>
        <v>Data Engineer</v>
      </c>
      <c r="E397" s="2" t="str">
        <f>[1]Sheet1!Y390</f>
        <v>Senior-Level</v>
      </c>
      <c r="F397" s="2" t="str">
        <f>[1]Sheet1!Q391</f>
        <v>100800 $</v>
      </c>
      <c r="G397" s="3">
        <f>[1]Sheet1!I391</f>
        <v>100800</v>
      </c>
      <c r="H397" s="2" t="str">
        <f>[1]Sheet1!N391</f>
        <v>Full-Time</v>
      </c>
      <c r="I397" s="2" t="str">
        <f>[1]Sheet1!O391</f>
        <v>Large</v>
      </c>
      <c r="J397" s="2" t="str">
        <f>[1]Sheet1!R391</f>
        <v>United States</v>
      </c>
      <c r="K397" s="2" t="str">
        <f>[1]Sheet1!S391</f>
        <v>United States</v>
      </c>
      <c r="L397" s="1"/>
    </row>
    <row r="398" spans="2:12">
      <c r="B398">
        <f>[1]Sheet1!B392</f>
        <v>389</v>
      </c>
      <c r="C398" s="2">
        <f>[1]Sheet1!C392</f>
        <v>2022</v>
      </c>
      <c r="D398" s="2" t="str">
        <f>[1]Sheet1!F392</f>
        <v>Data Engineer</v>
      </c>
      <c r="E398" s="2" t="str">
        <f>[1]Sheet1!Y391</f>
        <v>Mid-Level</v>
      </c>
      <c r="F398" s="2" t="str">
        <f>[1]Sheet1!Q392</f>
        <v>45000 €</v>
      </c>
      <c r="G398" s="3">
        <f>[1]Sheet1!I392</f>
        <v>49461</v>
      </c>
      <c r="H398" s="2" t="str">
        <f>[1]Sheet1!N392</f>
        <v>Full-Time</v>
      </c>
      <c r="I398" s="2" t="str">
        <f>[1]Sheet1!O392</f>
        <v>Contract</v>
      </c>
      <c r="J398" s="2" t="str">
        <f>[1]Sheet1!R392</f>
        <v>Spain</v>
      </c>
      <c r="K398" s="2" t="str">
        <f>[1]Sheet1!S392</f>
        <v>Spain</v>
      </c>
      <c r="L398" s="1"/>
    </row>
    <row r="399" spans="2:12">
      <c r="B399">
        <f>[1]Sheet1!B393</f>
        <v>390</v>
      </c>
      <c r="C399" s="2">
        <f>[1]Sheet1!C393</f>
        <v>2022</v>
      </c>
      <c r="D399" s="2" t="str">
        <f>[1]Sheet1!F393</f>
        <v>Data Scientist</v>
      </c>
      <c r="E399" s="2" t="str">
        <f>[1]Sheet1!Y392</f>
        <v>Senior-Level</v>
      </c>
      <c r="F399" s="2" t="str">
        <f>[1]Sheet1!Q393</f>
        <v>140400 $</v>
      </c>
      <c r="G399" s="3">
        <f>[1]Sheet1!I393</f>
        <v>140400</v>
      </c>
      <c r="H399" s="2" t="str">
        <f>[1]Sheet1!N393</f>
        <v>Full-Time</v>
      </c>
      <c r="I399" s="2" t="str">
        <f>[1]Sheet1!O393</f>
        <v>Large</v>
      </c>
      <c r="J399" s="2" t="str">
        <f>[1]Sheet1!R393</f>
        <v>United States</v>
      </c>
      <c r="K399" s="2" t="str">
        <f>[1]Sheet1!S393</f>
        <v>United States</v>
      </c>
      <c r="L399" s="1"/>
    </row>
    <row r="400" spans="2:12">
      <c r="B400">
        <f>[1]Sheet1!B394</f>
        <v>391</v>
      </c>
      <c r="C400" s="2">
        <f>[1]Sheet1!C394</f>
        <v>2022</v>
      </c>
      <c r="D400" s="2" t="str">
        <f>[1]Sheet1!F394</f>
        <v>Data Analyst</v>
      </c>
      <c r="E400" s="2" t="str">
        <f>[1]Sheet1!Y393</f>
        <v>Mid-Level</v>
      </c>
      <c r="F400" s="2" t="str">
        <f>[1]Sheet1!Q394</f>
        <v>30000 £</v>
      </c>
      <c r="G400" s="3">
        <f>[1]Sheet1!I394</f>
        <v>39263</v>
      </c>
      <c r="H400" s="2" t="str">
        <f>[1]Sheet1!N394</f>
        <v>Full-Time</v>
      </c>
      <c r="I400" s="2" t="str">
        <f>[1]Sheet1!O394</f>
        <v>Contract</v>
      </c>
      <c r="J400" s="2" t="str">
        <f>[1]Sheet1!R394</f>
        <v>United Kingdom</v>
      </c>
      <c r="K400" s="2" t="str">
        <f>[1]Sheet1!S394</f>
        <v>United Kingdom</v>
      </c>
      <c r="L400" s="1"/>
    </row>
    <row r="401" spans="2:12">
      <c r="B401">
        <f>[1]Sheet1!B395</f>
        <v>392</v>
      </c>
      <c r="C401" s="2">
        <f>[1]Sheet1!C395</f>
        <v>2022</v>
      </c>
      <c r="D401" s="2" t="str">
        <f>[1]Sheet1!F395</f>
        <v>Data Analyst</v>
      </c>
      <c r="E401" s="2" t="str">
        <f>[1]Sheet1!Y394</f>
        <v>Mid-Level</v>
      </c>
      <c r="F401" s="2" t="str">
        <f>[1]Sheet1!Q395</f>
        <v>40000 €</v>
      </c>
      <c r="G401" s="3">
        <f>[1]Sheet1!I395</f>
        <v>43966</v>
      </c>
      <c r="H401" s="2" t="str">
        <f>[1]Sheet1!N395</f>
        <v>Full-Time</v>
      </c>
      <c r="I401" s="2" t="str">
        <f>[1]Sheet1!O395</f>
        <v>Contract</v>
      </c>
      <c r="J401" s="2" t="str">
        <f>[1]Sheet1!R395</f>
        <v>Spain</v>
      </c>
      <c r="K401" s="2" t="str">
        <f>[1]Sheet1!S395</f>
        <v>Spain</v>
      </c>
      <c r="L401" s="1"/>
    </row>
    <row r="402" spans="2:12">
      <c r="B402">
        <f>[1]Sheet1!B396</f>
        <v>393</v>
      </c>
      <c r="C402" s="2">
        <f>[1]Sheet1!C396</f>
        <v>2022</v>
      </c>
      <c r="D402" s="2" t="str">
        <f>[1]Sheet1!F396</f>
        <v>Data Analyst</v>
      </c>
      <c r="E402" s="2" t="str">
        <f>[1]Sheet1!Y395</f>
        <v>Mid-Level</v>
      </c>
      <c r="F402" s="2" t="str">
        <f>[1]Sheet1!Q396</f>
        <v>30000 €</v>
      </c>
      <c r="G402" s="3">
        <f>[1]Sheet1!I396</f>
        <v>32974</v>
      </c>
      <c r="H402" s="2" t="str">
        <f>[1]Sheet1!N396</f>
        <v>Full-Time</v>
      </c>
      <c r="I402" s="2" t="str">
        <f>[1]Sheet1!O396</f>
        <v>Contract</v>
      </c>
      <c r="J402" s="2" t="str">
        <f>[1]Sheet1!R396</f>
        <v>Spain</v>
      </c>
      <c r="K402" s="2" t="str">
        <f>[1]Sheet1!S396</f>
        <v>Spain</v>
      </c>
      <c r="L402" s="1"/>
    </row>
    <row r="403" spans="2:12">
      <c r="B403">
        <f>[1]Sheet1!B397</f>
        <v>394</v>
      </c>
      <c r="C403" s="2">
        <f>[1]Sheet1!C397</f>
        <v>2022</v>
      </c>
      <c r="D403" s="2" t="str">
        <f>[1]Sheet1!F397</f>
        <v>Data Engineer</v>
      </c>
      <c r="E403" s="2" t="str">
        <f>[1]Sheet1!Y396</f>
        <v>Mid-Level</v>
      </c>
      <c r="F403" s="2" t="str">
        <f>[1]Sheet1!Q397</f>
        <v>80000 €</v>
      </c>
      <c r="G403" s="3">
        <f>[1]Sheet1!I397</f>
        <v>87932</v>
      </c>
      <c r="H403" s="2" t="str">
        <f>[1]Sheet1!N397</f>
        <v>Full-Time</v>
      </c>
      <c r="I403" s="2" t="str">
        <f>[1]Sheet1!O397</f>
        <v>Contract</v>
      </c>
      <c r="J403" s="2" t="str">
        <f>[1]Sheet1!R397</f>
        <v>Spain</v>
      </c>
      <c r="K403" s="2" t="str">
        <f>[1]Sheet1!S397</f>
        <v>Spain</v>
      </c>
      <c r="L403" s="1"/>
    </row>
    <row r="404" spans="2:12">
      <c r="B404">
        <f>[1]Sheet1!B398</f>
        <v>395</v>
      </c>
      <c r="C404" s="2">
        <f>[1]Sheet1!C398</f>
        <v>2022</v>
      </c>
      <c r="D404" s="2" t="str">
        <f>[1]Sheet1!F398</f>
        <v>Data Engineer</v>
      </c>
      <c r="E404" s="2" t="str">
        <f>[1]Sheet1!Y397</f>
        <v>Mid-Level</v>
      </c>
      <c r="F404" s="2" t="str">
        <f>[1]Sheet1!Q398</f>
        <v>70000 €</v>
      </c>
      <c r="G404" s="3">
        <f>[1]Sheet1!I398</f>
        <v>76940</v>
      </c>
      <c r="H404" s="2" t="str">
        <f>[1]Sheet1!N398</f>
        <v>Full-Time</v>
      </c>
      <c r="I404" s="2" t="str">
        <f>[1]Sheet1!O398</f>
        <v>Contract</v>
      </c>
      <c r="J404" s="2" t="str">
        <f>[1]Sheet1!R398</f>
        <v>Spain</v>
      </c>
      <c r="K404" s="2" t="str">
        <f>[1]Sheet1!S398</f>
        <v>Spain</v>
      </c>
      <c r="L404" s="1"/>
    </row>
    <row r="405" spans="2:12">
      <c r="B405">
        <f>[1]Sheet1!B399</f>
        <v>396</v>
      </c>
      <c r="C405" s="2">
        <f>[1]Sheet1!C399</f>
        <v>2022</v>
      </c>
      <c r="D405" s="2" t="str">
        <f>[1]Sheet1!F399</f>
        <v>Data Engineer</v>
      </c>
      <c r="E405" s="2" t="str">
        <f>[1]Sheet1!Y398</f>
        <v>Mid-Level</v>
      </c>
      <c r="F405" s="2" t="str">
        <f>[1]Sheet1!Q399</f>
        <v>80000 £</v>
      </c>
      <c r="G405" s="3">
        <f>[1]Sheet1!I399</f>
        <v>104702</v>
      </c>
      <c r="H405" s="2" t="str">
        <f>[1]Sheet1!N399</f>
        <v>Full-Time</v>
      </c>
      <c r="I405" s="2" t="str">
        <f>[1]Sheet1!O399</f>
        <v>Contract</v>
      </c>
      <c r="J405" s="2" t="str">
        <f>[1]Sheet1!R399</f>
        <v>United Kingdom</v>
      </c>
      <c r="K405" s="2" t="str">
        <f>[1]Sheet1!S399</f>
        <v>United Kingdom</v>
      </c>
      <c r="L405" s="1"/>
    </row>
    <row r="406" spans="2:12">
      <c r="B406">
        <f>[1]Sheet1!B400</f>
        <v>397</v>
      </c>
      <c r="C406" s="2">
        <f>[1]Sheet1!C400</f>
        <v>2022</v>
      </c>
      <c r="D406" s="2" t="str">
        <f>[1]Sheet1!F400</f>
        <v>Data Engineer</v>
      </c>
      <c r="E406" s="2" t="str">
        <f>[1]Sheet1!Y399</f>
        <v>Mid-Level</v>
      </c>
      <c r="F406" s="2" t="str">
        <f>[1]Sheet1!Q400</f>
        <v>60000 €</v>
      </c>
      <c r="G406" s="3">
        <f>[1]Sheet1!I400</f>
        <v>65949</v>
      </c>
      <c r="H406" s="2" t="str">
        <f>[1]Sheet1!N400</f>
        <v>Full-Time</v>
      </c>
      <c r="I406" s="2" t="str">
        <f>[1]Sheet1!O400</f>
        <v>Contract</v>
      </c>
      <c r="J406" s="2" t="str">
        <f>[1]Sheet1!R400</f>
        <v>Spain</v>
      </c>
      <c r="K406" s="2" t="str">
        <f>[1]Sheet1!S400</f>
        <v>Spain</v>
      </c>
      <c r="L406" s="1"/>
    </row>
    <row r="407" spans="2:12">
      <c r="B407">
        <f>[1]Sheet1!B401</f>
        <v>398</v>
      </c>
      <c r="C407" s="2">
        <f>[1]Sheet1!C401</f>
        <v>2022</v>
      </c>
      <c r="D407" s="2" t="str">
        <f>[1]Sheet1!F401</f>
        <v>Data Engineer</v>
      </c>
      <c r="E407" s="2" t="str">
        <f>[1]Sheet1!Y400</f>
        <v>Mid-Level</v>
      </c>
      <c r="F407" s="2" t="str">
        <f>[1]Sheet1!Q401</f>
        <v>80000 €</v>
      </c>
      <c r="G407" s="3">
        <f>[1]Sheet1!I401</f>
        <v>87932</v>
      </c>
      <c r="H407" s="2" t="str">
        <f>[1]Sheet1!N401</f>
        <v>Full-Time</v>
      </c>
      <c r="I407" s="2" t="str">
        <f>[1]Sheet1!O401</f>
        <v>Contract</v>
      </c>
      <c r="J407" s="2" t="str">
        <f>[1]Sheet1!R401</f>
        <v>Greece</v>
      </c>
      <c r="K407" s="2" t="str">
        <f>[1]Sheet1!S401</f>
        <v>Greece</v>
      </c>
      <c r="L407" s="1"/>
    </row>
    <row r="408" spans="2:12">
      <c r="B408">
        <f>[1]Sheet1!B402</f>
        <v>399</v>
      </c>
      <c r="C408" s="2">
        <f>[1]Sheet1!C402</f>
        <v>2022</v>
      </c>
      <c r="D408" s="2" t="str">
        <f>[1]Sheet1!F402</f>
        <v>Data Analyst</v>
      </c>
      <c r="E408" s="2" t="str">
        <f>[1]Sheet1!Y401</f>
        <v>Mid-Level</v>
      </c>
      <c r="F408" s="2" t="str">
        <f>[1]Sheet1!Q402</f>
        <v>40000 €</v>
      </c>
      <c r="G408" s="3">
        <f>[1]Sheet1!I402</f>
        <v>43966</v>
      </c>
      <c r="H408" s="2" t="str">
        <f>[1]Sheet1!N402</f>
        <v>Full-Time</v>
      </c>
      <c r="I408" s="2" t="str">
        <f>[1]Sheet1!O402</f>
        <v>Contract</v>
      </c>
      <c r="J408" s="2" t="str">
        <f>[1]Sheet1!R402</f>
        <v>Greece</v>
      </c>
      <c r="K408" s="2" t="str">
        <f>[1]Sheet1!S402</f>
        <v>Greece</v>
      </c>
      <c r="L408" s="1"/>
    </row>
    <row r="409" spans="2:12">
      <c r="B409">
        <f>[1]Sheet1!B403</f>
        <v>400</v>
      </c>
      <c r="C409" s="2">
        <f>[1]Sheet1!C403</f>
        <v>2022</v>
      </c>
      <c r="D409" s="2" t="str">
        <f>[1]Sheet1!F403</f>
        <v>Data Analyst</v>
      </c>
      <c r="E409" s="2" t="str">
        <f>[1]Sheet1!Y402</f>
        <v>Mid-Level</v>
      </c>
      <c r="F409" s="2" t="str">
        <f>[1]Sheet1!Q403</f>
        <v>30000 €</v>
      </c>
      <c r="G409" s="3">
        <f>[1]Sheet1!I403</f>
        <v>32974</v>
      </c>
      <c r="H409" s="2" t="str">
        <f>[1]Sheet1!N403</f>
        <v>Full-Time</v>
      </c>
      <c r="I409" s="2" t="str">
        <f>[1]Sheet1!O403</f>
        <v>Contract</v>
      </c>
      <c r="J409" s="2" t="str">
        <f>[1]Sheet1!R403</f>
        <v>Greece</v>
      </c>
      <c r="K409" s="2" t="str">
        <f>[1]Sheet1!S403</f>
        <v>Greece</v>
      </c>
      <c r="L409" s="1"/>
    </row>
    <row r="410" spans="2:12">
      <c r="B410">
        <f>[1]Sheet1!B404</f>
        <v>401</v>
      </c>
      <c r="C410" s="2">
        <f>[1]Sheet1!C404</f>
        <v>2022</v>
      </c>
      <c r="D410" s="2" t="str">
        <f>[1]Sheet1!F404</f>
        <v>Data Engineer</v>
      </c>
      <c r="E410" s="2" t="str">
        <f>[1]Sheet1!Y403</f>
        <v>Mid-Level</v>
      </c>
      <c r="F410" s="2" t="str">
        <f>[1]Sheet1!Q404</f>
        <v>70000 €</v>
      </c>
      <c r="G410" s="3">
        <f>[1]Sheet1!I404</f>
        <v>76940</v>
      </c>
      <c r="H410" s="2" t="str">
        <f>[1]Sheet1!N404</f>
        <v>Full-Time</v>
      </c>
      <c r="I410" s="2" t="str">
        <f>[1]Sheet1!O404</f>
        <v>Contract</v>
      </c>
      <c r="J410" s="2" t="str">
        <f>[1]Sheet1!R404</f>
        <v>Greece</v>
      </c>
      <c r="K410" s="2" t="str">
        <f>[1]Sheet1!S404</f>
        <v>Greece</v>
      </c>
      <c r="L410" s="1"/>
    </row>
    <row r="411" spans="2:12">
      <c r="B411">
        <f>[1]Sheet1!B405</f>
        <v>402</v>
      </c>
      <c r="C411" s="2">
        <f>[1]Sheet1!C405</f>
        <v>2022</v>
      </c>
      <c r="D411" s="2" t="str">
        <f>[1]Sheet1!F405</f>
        <v>Data Engineer</v>
      </c>
      <c r="E411" s="2" t="str">
        <f>[1]Sheet1!Y404</f>
        <v>Senior-Level</v>
      </c>
      <c r="F411" s="2" t="str">
        <f>[1]Sheet1!Q405</f>
        <v>180000 $</v>
      </c>
      <c r="G411" s="3">
        <f>[1]Sheet1!I405</f>
        <v>180000</v>
      </c>
      <c r="H411" s="2" t="str">
        <f>[1]Sheet1!N405</f>
        <v>Full-Time</v>
      </c>
      <c r="I411" s="2" t="str">
        <f>[1]Sheet1!O405</f>
        <v>Contract</v>
      </c>
      <c r="J411" s="2" t="str">
        <f>[1]Sheet1!R405</f>
        <v>United States</v>
      </c>
      <c r="K411" s="2" t="str">
        <f>[1]Sheet1!S405</f>
        <v>United States</v>
      </c>
      <c r="L411" s="1"/>
    </row>
    <row r="412" spans="2:12">
      <c r="B412">
        <f>[1]Sheet1!B406</f>
        <v>403</v>
      </c>
      <c r="C412" s="2">
        <f>[1]Sheet1!C406</f>
        <v>2022</v>
      </c>
      <c r="D412" s="2" t="str">
        <f>[1]Sheet1!F406</f>
        <v>ML Engineer</v>
      </c>
      <c r="E412" s="2" t="str">
        <f>[1]Sheet1!Y405</f>
        <v>Entry-Level</v>
      </c>
      <c r="F412" s="2" t="str">
        <f>[1]Sheet1!Q406</f>
        <v>20000 €</v>
      </c>
      <c r="G412" s="3">
        <f>[1]Sheet1!I406</f>
        <v>21983</v>
      </c>
      <c r="H412" s="2" t="str">
        <f>[1]Sheet1!N406</f>
        <v>Full-Time</v>
      </c>
      <c r="I412" s="2" t="str">
        <f>[1]Sheet1!O406</f>
        <v>Large</v>
      </c>
      <c r="J412" s="2" t="str">
        <f>[1]Sheet1!R406</f>
        <v>Portugal</v>
      </c>
      <c r="K412" s="2" t="str">
        <f>[1]Sheet1!S406</f>
        <v>Portugal</v>
      </c>
      <c r="L412" s="1"/>
    </row>
    <row r="413" spans="2:12">
      <c r="B413">
        <f>[1]Sheet1!B407</f>
        <v>404</v>
      </c>
      <c r="C413" s="2">
        <f>[1]Sheet1!C407</f>
        <v>2022</v>
      </c>
      <c r="D413" s="2" t="str">
        <f>[1]Sheet1!F407</f>
        <v>Machine Learning Developer</v>
      </c>
      <c r="E413" s="2" t="str">
        <f>[1]Sheet1!Y406</f>
        <v>Mid-Level</v>
      </c>
      <c r="F413" s="2" t="str">
        <f>[1]Sheet1!Q407</f>
        <v>100000 C$</v>
      </c>
      <c r="G413" s="3">
        <f>[1]Sheet1!I407</f>
        <v>78791</v>
      </c>
      <c r="H413" s="2" t="str">
        <f>[1]Sheet1!N407</f>
        <v>Full-Time</v>
      </c>
      <c r="I413" s="2" t="str">
        <f>[1]Sheet1!O407</f>
        <v>Contract</v>
      </c>
      <c r="J413" s="2" t="str">
        <f>[1]Sheet1!R407</f>
        <v>Canada</v>
      </c>
      <c r="K413" s="2" t="str">
        <f>[1]Sheet1!S407</f>
        <v>Canada</v>
      </c>
      <c r="L413" s="1"/>
    </row>
    <row r="414" spans="2:12">
      <c r="B414">
        <f>[1]Sheet1!B408</f>
        <v>405</v>
      </c>
      <c r="C414" s="2">
        <f>[1]Sheet1!C408</f>
        <v>2022</v>
      </c>
      <c r="D414" s="2" t="str">
        <f>[1]Sheet1!F408</f>
        <v>Director of Data Science</v>
      </c>
      <c r="E414" s="2" t="str">
        <f>[1]Sheet1!Y407</f>
        <v>Executive</v>
      </c>
      <c r="F414" s="2" t="str">
        <f>[1]Sheet1!Q408</f>
        <v>250000 C$</v>
      </c>
      <c r="G414" s="3">
        <f>[1]Sheet1!I408</f>
        <v>196979</v>
      </c>
      <c r="H414" s="2" t="str">
        <f>[1]Sheet1!N408</f>
        <v>Full-Time</v>
      </c>
      <c r="I414" s="2" t="str">
        <f>[1]Sheet1!O408</f>
        <v>Large</v>
      </c>
      <c r="J414" s="2" t="str">
        <f>[1]Sheet1!R408</f>
        <v>Canada</v>
      </c>
      <c r="K414" s="2" t="str">
        <f>[1]Sheet1!S408</f>
        <v>Canada</v>
      </c>
      <c r="L414" s="1"/>
    </row>
    <row r="415" spans="2:12">
      <c r="B415">
        <f>[1]Sheet1!B409</f>
        <v>406</v>
      </c>
      <c r="C415" s="2">
        <f>[1]Sheet1!C409</f>
        <v>2022</v>
      </c>
      <c r="D415" s="2" t="str">
        <f>[1]Sheet1!F409</f>
        <v>Machine Learning Engineer</v>
      </c>
      <c r="E415" s="2" t="str">
        <f>[1]Sheet1!Y408</f>
        <v>Mid-Level</v>
      </c>
      <c r="F415" s="2" t="str">
        <f>[1]Sheet1!Q409</f>
        <v>120000 $</v>
      </c>
      <c r="G415" s="3">
        <f>[1]Sheet1!I409</f>
        <v>120000</v>
      </c>
      <c r="H415" s="2" t="str">
        <f>[1]Sheet1!N409</f>
        <v>Full-Time</v>
      </c>
      <c r="I415" s="2" t="str">
        <f>[1]Sheet1!O409</f>
        <v>Small</v>
      </c>
      <c r="J415" s="2" t="str">
        <f>[1]Sheet1!R409</f>
        <v>United States</v>
      </c>
      <c r="K415" s="2" t="str">
        <f>[1]Sheet1!S409</f>
        <v>United States</v>
      </c>
      <c r="L415" s="1"/>
    </row>
    <row r="416" spans="2:12">
      <c r="B416">
        <f>[1]Sheet1!B410</f>
        <v>407</v>
      </c>
      <c r="C416" s="2">
        <f>[1]Sheet1!C410</f>
        <v>2022</v>
      </c>
      <c r="D416" s="2" t="str">
        <f>[1]Sheet1!F410</f>
        <v>Computer Vision Engineer</v>
      </c>
      <c r="E416" s="2" t="str">
        <f>[1]Sheet1!Y409</f>
        <v>Entry-Level</v>
      </c>
      <c r="F416" s="2" t="str">
        <f>[1]Sheet1!Q410</f>
        <v>125000 $</v>
      </c>
      <c r="G416" s="3">
        <f>[1]Sheet1!I410</f>
        <v>125000</v>
      </c>
      <c r="H416" s="2" t="str">
        <f>[1]Sheet1!N410</f>
        <v>Full-Time</v>
      </c>
      <c r="I416" s="2" t="str">
        <f>[1]Sheet1!O410</f>
        <v>Contract</v>
      </c>
      <c r="J416" s="2" t="str">
        <f>[1]Sheet1!R410</f>
        <v>United States</v>
      </c>
      <c r="K416" s="2" t="str">
        <f>[1]Sheet1!S410</f>
        <v>United States</v>
      </c>
      <c r="L416" s="1"/>
    </row>
    <row r="417" spans="2:12">
      <c r="B417">
        <f>[1]Sheet1!B411</f>
        <v>408</v>
      </c>
      <c r="C417" s="2">
        <f>[1]Sheet1!C411</f>
        <v>2022</v>
      </c>
      <c r="D417" s="2" t="str">
        <f>[1]Sheet1!F411</f>
        <v>NLP Engineer</v>
      </c>
      <c r="E417" s="2" t="str">
        <f>[1]Sheet1!Y410</f>
        <v>Mid-Level</v>
      </c>
      <c r="F417" s="2" t="str">
        <f>[1]Sheet1!Q411</f>
        <v>240000 CN¥</v>
      </c>
      <c r="G417" s="3">
        <f>[1]Sheet1!I411</f>
        <v>37236</v>
      </c>
      <c r="H417" s="2" t="str">
        <f>[1]Sheet1!N411</f>
        <v>Full-Time</v>
      </c>
      <c r="I417" s="2" t="str">
        <f>[1]Sheet1!O411</f>
        <v>Large</v>
      </c>
      <c r="J417" s="2" t="str">
        <f>[1]Sheet1!R411</f>
        <v>United States</v>
      </c>
      <c r="K417" s="2" t="str">
        <f>[1]Sheet1!S411</f>
        <v>United States</v>
      </c>
      <c r="L417" s="1"/>
    </row>
    <row r="418" spans="2:12">
      <c r="B418">
        <f>[1]Sheet1!B412</f>
        <v>409</v>
      </c>
      <c r="C418" s="2">
        <f>[1]Sheet1!C412</f>
        <v>2022</v>
      </c>
      <c r="D418" s="2" t="str">
        <f>[1]Sheet1!F412</f>
        <v>Data Engineer</v>
      </c>
      <c r="E418" s="2" t="str">
        <f>[1]Sheet1!Y411</f>
        <v>Senior-Level</v>
      </c>
      <c r="F418" s="2" t="str">
        <f>[1]Sheet1!Q412</f>
        <v>105000 $</v>
      </c>
      <c r="G418" s="3">
        <f>[1]Sheet1!I412</f>
        <v>105000</v>
      </c>
      <c r="H418" s="2" t="str">
        <f>[1]Sheet1!N412</f>
        <v>Full-Time</v>
      </c>
      <c r="I418" s="2" t="str">
        <f>[1]Sheet1!O412</f>
        <v>Contract</v>
      </c>
      <c r="J418" s="2" t="str">
        <f>[1]Sheet1!R412</f>
        <v>United States</v>
      </c>
      <c r="K418" s="2" t="str">
        <f>[1]Sheet1!S412</f>
        <v>United States</v>
      </c>
      <c r="L418" s="1"/>
    </row>
    <row r="419" spans="2:12">
      <c r="B419">
        <f>[1]Sheet1!B413</f>
        <v>410</v>
      </c>
      <c r="C419" s="2">
        <f>[1]Sheet1!C413</f>
        <v>2022</v>
      </c>
      <c r="D419" s="2" t="str">
        <f>[1]Sheet1!F413</f>
        <v>Lead Machine Learning Engineer</v>
      </c>
      <c r="E419" s="2" t="str">
        <f>[1]Sheet1!Y412</f>
        <v>Senior-Level</v>
      </c>
      <c r="F419" s="2" t="str">
        <f>[1]Sheet1!Q413</f>
        <v>80000 €</v>
      </c>
      <c r="G419" s="3">
        <f>[1]Sheet1!I413</f>
        <v>87932</v>
      </c>
      <c r="H419" s="2" t="str">
        <f>[1]Sheet1!N413</f>
        <v>Full-Time</v>
      </c>
      <c r="I419" s="2" t="str">
        <f>[1]Sheet1!O413</f>
        <v>Contract</v>
      </c>
      <c r="J419" s="2" t="str">
        <f>[1]Sheet1!R413</f>
        <v>Germany</v>
      </c>
      <c r="K419" s="2" t="str">
        <f>[1]Sheet1!S413</f>
        <v>Germany</v>
      </c>
      <c r="L419" s="1"/>
    </row>
    <row r="420" spans="2:12">
      <c r="B420">
        <f>[1]Sheet1!B414</f>
        <v>411</v>
      </c>
      <c r="C420" s="2">
        <f>[1]Sheet1!C414</f>
        <v>2022</v>
      </c>
      <c r="D420" s="2" t="str">
        <f>[1]Sheet1!F414</f>
        <v>Business Data Analyst</v>
      </c>
      <c r="E420" s="2" t="str">
        <f>[1]Sheet1!Y413</f>
        <v>Mid-Level</v>
      </c>
      <c r="F420" s="2" t="str">
        <f>[1]Sheet1!Q414</f>
        <v>1400000 ₹</v>
      </c>
      <c r="G420" s="3">
        <f>[1]Sheet1!I414</f>
        <v>18442</v>
      </c>
      <c r="H420" s="2" t="str">
        <f>[1]Sheet1!N414</f>
        <v>Full-Time</v>
      </c>
      <c r="I420" s="2" t="str">
        <f>[1]Sheet1!O414</f>
        <v>Contract</v>
      </c>
      <c r="J420" s="2" t="str">
        <f>[1]Sheet1!R414</f>
        <v>India</v>
      </c>
      <c r="K420" s="2" t="str">
        <f>[1]Sheet1!S414</f>
        <v>India</v>
      </c>
      <c r="L420" s="1"/>
    </row>
    <row r="421" spans="2:12">
      <c r="B421">
        <f>[1]Sheet1!B415</f>
        <v>412</v>
      </c>
      <c r="C421" s="2">
        <f>[1]Sheet1!C415</f>
        <v>2022</v>
      </c>
      <c r="D421" s="2" t="str">
        <f>[1]Sheet1!F415</f>
        <v>Data Scientist</v>
      </c>
      <c r="E421" s="2" t="str">
        <f>[1]Sheet1!Y414</f>
        <v>Mid-Level</v>
      </c>
      <c r="F421" s="2" t="str">
        <f>[1]Sheet1!Q415</f>
        <v>2400000 ₹</v>
      </c>
      <c r="G421" s="3">
        <f>[1]Sheet1!I415</f>
        <v>31615</v>
      </c>
      <c r="H421" s="2" t="str">
        <f>[1]Sheet1!N415</f>
        <v>Full-Time</v>
      </c>
      <c r="I421" s="2" t="str">
        <f>[1]Sheet1!O415</f>
        <v>Large</v>
      </c>
      <c r="J421" s="2" t="str">
        <f>[1]Sheet1!R415</f>
        <v>India</v>
      </c>
      <c r="K421" s="2" t="str">
        <f>[1]Sheet1!S415</f>
        <v>India</v>
      </c>
      <c r="L421" s="1"/>
    </row>
    <row r="422" spans="2:12">
      <c r="B422">
        <f>[1]Sheet1!B416</f>
        <v>413</v>
      </c>
      <c r="C422" s="2">
        <f>[1]Sheet1!C416</f>
        <v>2022</v>
      </c>
      <c r="D422" s="2" t="str">
        <f>[1]Sheet1!F416</f>
        <v>Machine Learning Infrastructure Engineer</v>
      </c>
      <c r="E422" s="2" t="str">
        <f>[1]Sheet1!Y415</f>
        <v>Mid-Level</v>
      </c>
      <c r="F422" s="2" t="str">
        <f>[1]Sheet1!Q416</f>
        <v>53000 €</v>
      </c>
      <c r="G422" s="3">
        <f>[1]Sheet1!I416</f>
        <v>58255</v>
      </c>
      <c r="H422" s="2" t="str">
        <f>[1]Sheet1!N416</f>
        <v>Full-Time</v>
      </c>
      <c r="I422" s="2" t="str">
        <f>[1]Sheet1!O416</f>
        <v>Large</v>
      </c>
      <c r="J422" s="2" t="str">
        <f>[1]Sheet1!R416</f>
        <v>Portugal</v>
      </c>
      <c r="K422" s="2" t="str">
        <f>[1]Sheet1!S416</f>
        <v>Portugal</v>
      </c>
      <c r="L422" s="1"/>
    </row>
    <row r="423" spans="2:12">
      <c r="B423">
        <f>[1]Sheet1!B417</f>
        <v>414</v>
      </c>
      <c r="C423" s="2">
        <f>[1]Sheet1!C417</f>
        <v>2022</v>
      </c>
      <c r="D423" s="2" t="str">
        <f>[1]Sheet1!F417</f>
        <v>Financial Data Analyst</v>
      </c>
      <c r="E423" s="2" t="str">
        <f>[1]Sheet1!Y416</f>
        <v>Entry-Level</v>
      </c>
      <c r="F423" s="2" t="str">
        <f>[1]Sheet1!Q417</f>
        <v>100000 $</v>
      </c>
      <c r="G423" s="3">
        <f>[1]Sheet1!I417</f>
        <v>100000</v>
      </c>
      <c r="H423" s="2" t="str">
        <f>[1]Sheet1!N417</f>
        <v>Full-Time</v>
      </c>
      <c r="I423" s="2" t="str">
        <f>[1]Sheet1!O417</f>
        <v>Large</v>
      </c>
      <c r="J423" s="2" t="str">
        <f>[1]Sheet1!R417</f>
        <v>United States</v>
      </c>
      <c r="K423" s="2" t="str">
        <f>[1]Sheet1!S417</f>
        <v>United States</v>
      </c>
      <c r="L423" s="1"/>
    </row>
    <row r="424" spans="2:12">
      <c r="B424">
        <f>[1]Sheet1!B418</f>
        <v>415</v>
      </c>
      <c r="C424" s="2">
        <f>[1]Sheet1!C418</f>
        <v>2022</v>
      </c>
      <c r="D424" s="2" t="str">
        <f>[1]Sheet1!F418</f>
        <v>Data Engineer</v>
      </c>
      <c r="E424" s="2" t="str">
        <f>[1]Sheet1!Y417</f>
        <v>Mid-Level</v>
      </c>
      <c r="F424" s="2" t="str">
        <f>[1]Sheet1!Q418</f>
        <v>50000 €</v>
      </c>
      <c r="G424" s="3">
        <f>[1]Sheet1!I418</f>
        <v>54957</v>
      </c>
      <c r="H424" s="2" t="str">
        <f>[1]Sheet1!N418</f>
        <v>Part-Time</v>
      </c>
      <c r="I424" s="2" t="str">
        <f>[1]Sheet1!O418</f>
        <v>Large</v>
      </c>
      <c r="J424" s="2" t="str">
        <f>[1]Sheet1!R418</f>
        <v>Germany</v>
      </c>
      <c r="K424" s="2" t="str">
        <f>[1]Sheet1!S418</f>
        <v>Germany</v>
      </c>
      <c r="L424" s="1"/>
    </row>
    <row r="425" spans="2:12">
      <c r="B425">
        <f>[1]Sheet1!B419</f>
        <v>416</v>
      </c>
      <c r="C425" s="2">
        <f>[1]Sheet1!C419</f>
        <v>2022</v>
      </c>
      <c r="D425" s="2" t="str">
        <f>[1]Sheet1!F419</f>
        <v>Data Scientist</v>
      </c>
      <c r="E425" s="2" t="str">
        <f>[1]Sheet1!Y418</f>
        <v>Entry-Level</v>
      </c>
      <c r="F425" s="2" t="str">
        <f>[1]Sheet1!Q419</f>
        <v>1400000 ₹</v>
      </c>
      <c r="G425" s="3">
        <f>[1]Sheet1!I419</f>
        <v>18442</v>
      </c>
      <c r="H425" s="2" t="str">
        <f>[1]Sheet1!N419</f>
        <v>Full-Time</v>
      </c>
      <c r="I425" s="2" t="str">
        <f>[1]Sheet1!O419</f>
        <v>Contract</v>
      </c>
      <c r="J425" s="2" t="str">
        <f>[1]Sheet1!R419</f>
        <v>India</v>
      </c>
      <c r="K425" s="2" t="str">
        <f>[1]Sheet1!S419</f>
        <v>India</v>
      </c>
      <c r="L425" s="1"/>
    </row>
    <row r="426" spans="2:12">
      <c r="B426">
        <f>[1]Sheet1!B420</f>
        <v>417</v>
      </c>
      <c r="C426" s="2">
        <f>[1]Sheet1!C420</f>
        <v>2022</v>
      </c>
      <c r="D426" s="2" t="str">
        <f>[1]Sheet1!F420</f>
        <v>Principal Data Scientist</v>
      </c>
      <c r="E426" s="2" t="str">
        <f>[1]Sheet1!Y419</f>
        <v>Senior-Level</v>
      </c>
      <c r="F426" s="2" t="str">
        <f>[1]Sheet1!Q420</f>
        <v>148000 €</v>
      </c>
      <c r="G426" s="3">
        <f>[1]Sheet1!I420</f>
        <v>162674</v>
      </c>
      <c r="H426" s="2" t="str">
        <f>[1]Sheet1!N420</f>
        <v>Full-Time</v>
      </c>
      <c r="I426" s="2" t="str">
        <f>[1]Sheet1!O420</f>
        <v>Contract</v>
      </c>
      <c r="J426" s="2" t="str">
        <f>[1]Sheet1!R420</f>
        <v>Germany</v>
      </c>
      <c r="K426" s="2" t="str">
        <f>[1]Sheet1!S420</f>
        <v>Germany</v>
      </c>
      <c r="L426" s="1"/>
    </row>
    <row r="427" spans="2:12">
      <c r="B427">
        <f>[1]Sheet1!B421</f>
        <v>418</v>
      </c>
      <c r="C427" s="2">
        <f>[1]Sheet1!C421</f>
        <v>2022</v>
      </c>
      <c r="D427" s="2" t="str">
        <f>[1]Sheet1!F421</f>
        <v>Data Engineer</v>
      </c>
      <c r="E427" s="2" t="str">
        <f>[1]Sheet1!Y420</f>
        <v>Entry-Level</v>
      </c>
      <c r="F427" s="2" t="str">
        <f>[1]Sheet1!Q421</f>
        <v>120000 $</v>
      </c>
      <c r="G427" s="3">
        <f>[1]Sheet1!I421</f>
        <v>120000</v>
      </c>
      <c r="H427" s="2" t="str">
        <f>[1]Sheet1!N421</f>
        <v>Full-Time</v>
      </c>
      <c r="I427" s="2" t="str">
        <f>[1]Sheet1!O421</f>
        <v>Contract</v>
      </c>
      <c r="J427" s="2" t="str">
        <f>[1]Sheet1!R421</f>
        <v>United States</v>
      </c>
      <c r="K427" s="2" t="str">
        <f>[1]Sheet1!S421</f>
        <v>United States</v>
      </c>
      <c r="L427" s="1"/>
    </row>
    <row r="428" spans="2:12">
      <c r="B428">
        <f>[1]Sheet1!B422</f>
        <v>419</v>
      </c>
      <c r="C428" s="2">
        <f>[1]Sheet1!C422</f>
        <v>2022</v>
      </c>
      <c r="D428" s="2" t="str">
        <f>[1]Sheet1!F422</f>
        <v>Research Scientist</v>
      </c>
      <c r="E428" s="2" t="str">
        <f>[1]Sheet1!Y421</f>
        <v>Senior-Level</v>
      </c>
      <c r="F428" s="2" t="str">
        <f>[1]Sheet1!Q422</f>
        <v>144000 $</v>
      </c>
      <c r="G428" s="3">
        <f>[1]Sheet1!I422</f>
        <v>144000</v>
      </c>
      <c r="H428" s="2" t="str">
        <f>[1]Sheet1!N422</f>
        <v>Full-Time</v>
      </c>
      <c r="I428" s="2" t="str">
        <f>[1]Sheet1!O422</f>
        <v>Large</v>
      </c>
      <c r="J428" s="2" t="str">
        <f>[1]Sheet1!R422</f>
        <v>United States</v>
      </c>
      <c r="K428" s="2" t="str">
        <f>[1]Sheet1!S422</f>
        <v>United States</v>
      </c>
      <c r="L428" s="1"/>
    </row>
    <row r="429" spans="2:12">
      <c r="B429">
        <f>[1]Sheet1!B423</f>
        <v>420</v>
      </c>
      <c r="C429" s="2">
        <f>[1]Sheet1!C423</f>
        <v>2022</v>
      </c>
      <c r="D429" s="2" t="str">
        <f>[1]Sheet1!F423</f>
        <v>Data Scientist</v>
      </c>
      <c r="E429" s="2" t="str">
        <f>[1]Sheet1!Y422</f>
        <v>Senior-Level</v>
      </c>
      <c r="F429" s="2" t="str">
        <f>[1]Sheet1!Q423</f>
        <v>104890 $</v>
      </c>
      <c r="G429" s="3">
        <f>[1]Sheet1!I423</f>
        <v>104890</v>
      </c>
      <c r="H429" s="2" t="str">
        <f>[1]Sheet1!N423</f>
        <v>Full-Time</v>
      </c>
      <c r="I429" s="2" t="str">
        <f>[1]Sheet1!O423</f>
        <v>Contract</v>
      </c>
      <c r="J429" s="2" t="str">
        <f>[1]Sheet1!R423</f>
        <v>United States</v>
      </c>
      <c r="K429" s="2" t="str">
        <f>[1]Sheet1!S423</f>
        <v>United States</v>
      </c>
      <c r="L429" s="1"/>
    </row>
    <row r="430" spans="2:12">
      <c r="B430">
        <f>[1]Sheet1!B424</f>
        <v>421</v>
      </c>
      <c r="C430" s="2">
        <f>[1]Sheet1!C424</f>
        <v>2022</v>
      </c>
      <c r="D430" s="2" t="str">
        <f>[1]Sheet1!F424</f>
        <v>Data Scientist</v>
      </c>
      <c r="E430" s="2" t="str">
        <f>[1]Sheet1!Y423</f>
        <v>Senior-Level</v>
      </c>
      <c r="F430" s="2" t="str">
        <f>[1]Sheet1!Q424</f>
        <v>140000 $</v>
      </c>
      <c r="G430" s="3">
        <f>[1]Sheet1!I424</f>
        <v>140000</v>
      </c>
      <c r="H430" s="2" t="str">
        <f>[1]Sheet1!N424</f>
        <v>Full-Time</v>
      </c>
      <c r="I430" s="2" t="str">
        <f>[1]Sheet1!O424</f>
        <v>Contract</v>
      </c>
      <c r="J430" s="2" t="str">
        <f>[1]Sheet1!R424</f>
        <v>United States</v>
      </c>
      <c r="K430" s="2" t="str">
        <f>[1]Sheet1!S424</f>
        <v>United States</v>
      </c>
      <c r="L430" s="1"/>
    </row>
    <row r="431" spans="2:12">
      <c r="B431">
        <f>[1]Sheet1!B425</f>
        <v>422</v>
      </c>
      <c r="C431" s="2">
        <f>[1]Sheet1!C425</f>
        <v>2022</v>
      </c>
      <c r="D431" s="2" t="str">
        <f>[1]Sheet1!F425</f>
        <v>Data Scientist</v>
      </c>
      <c r="E431" s="2" t="str">
        <f>[1]Sheet1!Y424</f>
        <v>Senior-Level</v>
      </c>
      <c r="F431" s="2" t="str">
        <f>[1]Sheet1!Q425</f>
        <v>220000 $</v>
      </c>
      <c r="G431" s="3">
        <f>[1]Sheet1!I425</f>
        <v>220000</v>
      </c>
      <c r="H431" s="2" t="str">
        <f>[1]Sheet1!N425</f>
        <v>Full-Time</v>
      </c>
      <c r="I431" s="2" t="str">
        <f>[1]Sheet1!O425</f>
        <v>Contract</v>
      </c>
      <c r="J431" s="2" t="str">
        <f>[1]Sheet1!R425</f>
        <v>United States</v>
      </c>
      <c r="K431" s="2" t="str">
        <f>[1]Sheet1!S425</f>
        <v>United States</v>
      </c>
      <c r="L431" s="1"/>
    </row>
    <row r="432" spans="2:12">
      <c r="B432">
        <f>[1]Sheet1!B426</f>
        <v>423</v>
      </c>
      <c r="C432" s="2">
        <f>[1]Sheet1!C426</f>
        <v>2022</v>
      </c>
      <c r="D432" s="2" t="str">
        <f>[1]Sheet1!F426</f>
        <v>Data Scientist</v>
      </c>
      <c r="E432" s="2" t="str">
        <f>[1]Sheet1!Y425</f>
        <v>Mid-Level</v>
      </c>
      <c r="F432" s="2" t="str">
        <f>[1]Sheet1!Q426</f>
        <v>140000 £</v>
      </c>
      <c r="G432" s="3">
        <f>[1]Sheet1!I426</f>
        <v>183228</v>
      </c>
      <c r="H432" s="2" t="str">
        <f>[1]Sheet1!N426</f>
        <v>Full-Time</v>
      </c>
      <c r="I432" s="2" t="str">
        <f>[1]Sheet1!O426</f>
        <v>Contract</v>
      </c>
      <c r="J432" s="2" t="str">
        <f>[1]Sheet1!R426</f>
        <v>United Kingdom</v>
      </c>
      <c r="K432" s="2" t="str">
        <f>[1]Sheet1!S426</f>
        <v>United Kingdom</v>
      </c>
      <c r="L432" s="1"/>
    </row>
    <row r="433" spans="2:12">
      <c r="B433">
        <f>[1]Sheet1!B427</f>
        <v>424</v>
      </c>
      <c r="C433" s="2">
        <f>[1]Sheet1!C427</f>
        <v>2022</v>
      </c>
      <c r="D433" s="2" t="str">
        <f>[1]Sheet1!F427</f>
        <v>Data Scientist</v>
      </c>
      <c r="E433" s="2" t="str">
        <f>[1]Sheet1!Y426</f>
        <v>Mid-Level</v>
      </c>
      <c r="F433" s="2" t="str">
        <f>[1]Sheet1!Q427</f>
        <v>70000 £</v>
      </c>
      <c r="G433" s="3">
        <f>[1]Sheet1!I427</f>
        <v>91614</v>
      </c>
      <c r="H433" s="2" t="str">
        <f>[1]Sheet1!N427</f>
        <v>Full-Time</v>
      </c>
      <c r="I433" s="2" t="str">
        <f>[1]Sheet1!O427</f>
        <v>Contract</v>
      </c>
      <c r="J433" s="2" t="str">
        <f>[1]Sheet1!R427</f>
        <v>United Kingdom</v>
      </c>
      <c r="K433" s="2" t="str">
        <f>[1]Sheet1!S427</f>
        <v>United Kingdom</v>
      </c>
      <c r="L433" s="1"/>
    </row>
    <row r="434" spans="2:12">
      <c r="B434">
        <f>[1]Sheet1!B428</f>
        <v>425</v>
      </c>
      <c r="C434" s="2">
        <f>[1]Sheet1!C428</f>
        <v>2022</v>
      </c>
      <c r="D434" s="2" t="str">
        <f>[1]Sheet1!F428</f>
        <v>Data Scientist</v>
      </c>
      <c r="E434" s="2" t="str">
        <f>[1]Sheet1!Y427</f>
        <v>Senior-Level</v>
      </c>
      <c r="F434" s="2" t="str">
        <f>[1]Sheet1!Q428</f>
        <v>185100 $</v>
      </c>
      <c r="G434" s="3">
        <f>[1]Sheet1!I428</f>
        <v>185100</v>
      </c>
      <c r="H434" s="2" t="str">
        <f>[1]Sheet1!N428</f>
        <v>Full-Time</v>
      </c>
      <c r="I434" s="2" t="str">
        <f>[1]Sheet1!O428</f>
        <v>Contract</v>
      </c>
      <c r="J434" s="2" t="str">
        <f>[1]Sheet1!R428</f>
        <v>United States</v>
      </c>
      <c r="K434" s="2" t="str">
        <f>[1]Sheet1!S428</f>
        <v>United States</v>
      </c>
      <c r="L434" s="1"/>
    </row>
    <row r="435" spans="2:12">
      <c r="B435">
        <f>[1]Sheet1!B429</f>
        <v>426</v>
      </c>
      <c r="C435" s="2">
        <f>[1]Sheet1!C429</f>
        <v>2022</v>
      </c>
      <c r="D435" s="2" t="str">
        <f>[1]Sheet1!F429</f>
        <v>Machine Learning Engineer</v>
      </c>
      <c r="E435" s="2" t="str">
        <f>[1]Sheet1!Y428</f>
        <v>Senior-Level</v>
      </c>
      <c r="F435" s="2" t="str">
        <f>[1]Sheet1!Q429</f>
        <v>220000 $</v>
      </c>
      <c r="G435" s="3">
        <f>[1]Sheet1!I429</f>
        <v>220000</v>
      </c>
      <c r="H435" s="2" t="str">
        <f>[1]Sheet1!N429</f>
        <v>Full-Time</v>
      </c>
      <c r="I435" s="2" t="str">
        <f>[1]Sheet1!O429</f>
        <v>Contract</v>
      </c>
      <c r="J435" s="2" t="str">
        <f>[1]Sheet1!R429</f>
        <v>United States</v>
      </c>
      <c r="K435" s="2" t="str">
        <f>[1]Sheet1!S429</f>
        <v>United States</v>
      </c>
      <c r="L435" s="1"/>
    </row>
    <row r="436" spans="2:12">
      <c r="B436">
        <f>[1]Sheet1!B430</f>
        <v>427</v>
      </c>
      <c r="C436" s="2">
        <f>[1]Sheet1!C430</f>
        <v>2022</v>
      </c>
      <c r="D436" s="2" t="str">
        <f>[1]Sheet1!F430</f>
        <v>Data Scientist</v>
      </c>
      <c r="E436" s="2" t="str">
        <f>[1]Sheet1!Y429</f>
        <v>Mid-Level</v>
      </c>
      <c r="F436" s="2" t="str">
        <f>[1]Sheet1!Q430</f>
        <v>200000 $</v>
      </c>
      <c r="G436" s="3">
        <f>[1]Sheet1!I430</f>
        <v>200000</v>
      </c>
      <c r="H436" s="2" t="str">
        <f>[1]Sheet1!N430</f>
        <v>Full-Time</v>
      </c>
      <c r="I436" s="2" t="str">
        <f>[1]Sheet1!O430</f>
        <v>Contract</v>
      </c>
      <c r="J436" s="2" t="str">
        <f>[1]Sheet1!R430</f>
        <v>United States</v>
      </c>
      <c r="K436" s="2" t="str">
        <f>[1]Sheet1!S430</f>
        <v>United States</v>
      </c>
      <c r="L436" s="1"/>
    </row>
    <row r="437" spans="2:12">
      <c r="B437">
        <f>[1]Sheet1!B431</f>
        <v>428</v>
      </c>
      <c r="C437" s="2">
        <f>[1]Sheet1!C431</f>
        <v>2022</v>
      </c>
      <c r="D437" s="2" t="str">
        <f>[1]Sheet1!F431</f>
        <v>Machine Learning Engineer</v>
      </c>
      <c r="E437" s="2" t="str">
        <f>[1]Sheet1!Y430</f>
        <v>Senior-Level</v>
      </c>
      <c r="F437" s="2" t="str">
        <f>[1]Sheet1!Q431</f>
        <v>120000 $</v>
      </c>
      <c r="G437" s="3">
        <f>[1]Sheet1!I431</f>
        <v>120000</v>
      </c>
      <c r="H437" s="2" t="str">
        <f>[1]Sheet1!N431</f>
        <v>Full-Time</v>
      </c>
      <c r="I437" s="2" t="str">
        <f>[1]Sheet1!O431</f>
        <v>Small</v>
      </c>
      <c r="J437" s="2" t="str">
        <f>[1]Sheet1!R431</f>
        <v>United Arab Emirates</v>
      </c>
      <c r="K437" s="2" t="str">
        <f>[1]Sheet1!S431</f>
        <v>United Arab Emirates</v>
      </c>
      <c r="L437" s="1"/>
    </row>
    <row r="438" spans="2:12">
      <c r="B438">
        <f>[1]Sheet1!B432</f>
        <v>429</v>
      </c>
      <c r="C438" s="2">
        <f>[1]Sheet1!C432</f>
        <v>2022</v>
      </c>
      <c r="D438" s="2" t="str">
        <f>[1]Sheet1!F432</f>
        <v>Machine Learning Engineer</v>
      </c>
      <c r="E438" s="2" t="str">
        <f>[1]Sheet1!Y431</f>
        <v>Senior-Level</v>
      </c>
      <c r="F438" s="2" t="str">
        <f>[1]Sheet1!Q432</f>
        <v>65000 $</v>
      </c>
      <c r="G438" s="3">
        <f>[1]Sheet1!I432</f>
        <v>65000</v>
      </c>
      <c r="H438" s="2" t="str">
        <f>[1]Sheet1!N432</f>
        <v>Full-Time</v>
      </c>
      <c r="I438" s="2" t="str">
        <f>[1]Sheet1!O432</f>
        <v>Small</v>
      </c>
      <c r="J438" s="2" t="str">
        <f>[1]Sheet1!R432</f>
        <v>United Arab Emirates</v>
      </c>
      <c r="K438" s="2" t="str">
        <f>[1]Sheet1!S432</f>
        <v>United Arab Emirates</v>
      </c>
      <c r="L438" s="1"/>
    </row>
    <row r="439" spans="2:12">
      <c r="B439">
        <f>[1]Sheet1!B433</f>
        <v>430</v>
      </c>
      <c r="C439" s="2">
        <f>[1]Sheet1!C433</f>
        <v>2022</v>
      </c>
      <c r="D439" s="2" t="str">
        <f>[1]Sheet1!F433</f>
        <v>Data Engineer</v>
      </c>
      <c r="E439" s="2" t="str">
        <f>[1]Sheet1!Y432</f>
        <v>Executive</v>
      </c>
      <c r="F439" s="2" t="str">
        <f>[1]Sheet1!Q433</f>
        <v>324000 $</v>
      </c>
      <c r="G439" s="3">
        <f>[1]Sheet1!I433</f>
        <v>324000</v>
      </c>
      <c r="H439" s="2" t="str">
        <f>[1]Sheet1!N433</f>
        <v>Full-Time</v>
      </c>
      <c r="I439" s="2" t="str">
        <f>[1]Sheet1!O433</f>
        <v>Contract</v>
      </c>
      <c r="J439" s="2" t="str">
        <f>[1]Sheet1!R433</f>
        <v>United States</v>
      </c>
      <c r="K439" s="2" t="str">
        <f>[1]Sheet1!S433</f>
        <v>United States</v>
      </c>
      <c r="L439" s="1"/>
    </row>
    <row r="440" spans="2:12">
      <c r="B440">
        <f>[1]Sheet1!B434</f>
        <v>431</v>
      </c>
      <c r="C440" s="2">
        <f>[1]Sheet1!C434</f>
        <v>2022</v>
      </c>
      <c r="D440" s="2" t="str">
        <f>[1]Sheet1!F434</f>
        <v>Data Engineer</v>
      </c>
      <c r="E440" s="2" t="str">
        <f>[1]Sheet1!Y433</f>
        <v>Executive</v>
      </c>
      <c r="F440" s="2" t="str">
        <f>[1]Sheet1!Q434</f>
        <v>216000 $</v>
      </c>
      <c r="G440" s="3">
        <f>[1]Sheet1!I434</f>
        <v>216000</v>
      </c>
      <c r="H440" s="2" t="str">
        <f>[1]Sheet1!N434</f>
        <v>Full-Time</v>
      </c>
      <c r="I440" s="2" t="str">
        <f>[1]Sheet1!O434</f>
        <v>Contract</v>
      </c>
      <c r="J440" s="2" t="str">
        <f>[1]Sheet1!R434</f>
        <v>United States</v>
      </c>
      <c r="K440" s="2" t="str">
        <f>[1]Sheet1!S434</f>
        <v>United States</v>
      </c>
      <c r="L440" s="1"/>
    </row>
    <row r="441" spans="2:12">
      <c r="B441">
        <f>[1]Sheet1!B435</f>
        <v>432</v>
      </c>
      <c r="C441" s="2">
        <f>[1]Sheet1!C435</f>
        <v>2022</v>
      </c>
      <c r="D441" s="2" t="str">
        <f>[1]Sheet1!F435</f>
        <v>Data Engineer</v>
      </c>
      <c r="E441" s="2" t="str">
        <f>[1]Sheet1!Y434</f>
        <v>Senior-Level</v>
      </c>
      <c r="F441" s="2" t="str">
        <f>[1]Sheet1!Q435</f>
        <v>210000 $</v>
      </c>
      <c r="G441" s="3">
        <f>[1]Sheet1!I435</f>
        <v>210000</v>
      </c>
      <c r="H441" s="2" t="str">
        <f>[1]Sheet1!N435</f>
        <v>Full-Time</v>
      </c>
      <c r="I441" s="2" t="str">
        <f>[1]Sheet1!O435</f>
        <v>Contract</v>
      </c>
      <c r="J441" s="2" t="str">
        <f>[1]Sheet1!R435</f>
        <v>United States</v>
      </c>
      <c r="K441" s="2" t="str">
        <f>[1]Sheet1!S435</f>
        <v>United States</v>
      </c>
      <c r="L441" s="1"/>
    </row>
    <row r="442" spans="2:12">
      <c r="B442">
        <f>[1]Sheet1!B436</f>
        <v>433</v>
      </c>
      <c r="C442" s="2">
        <f>[1]Sheet1!C436</f>
        <v>2022</v>
      </c>
      <c r="D442" s="2" t="str">
        <f>[1]Sheet1!F436</f>
        <v>Data Scientist</v>
      </c>
      <c r="E442" s="2" t="str">
        <f>[1]Sheet1!Y435</f>
        <v>Senior-Level</v>
      </c>
      <c r="F442" s="2" t="str">
        <f>[1]Sheet1!Q436</f>
        <v>230000 $</v>
      </c>
      <c r="G442" s="3">
        <f>[1]Sheet1!I436</f>
        <v>230000</v>
      </c>
      <c r="H442" s="2" t="str">
        <f>[1]Sheet1!N436</f>
        <v>Full-Time</v>
      </c>
      <c r="I442" s="2" t="str">
        <f>[1]Sheet1!O436</f>
        <v>Contract</v>
      </c>
      <c r="J442" s="2" t="str">
        <f>[1]Sheet1!R436</f>
        <v>United States</v>
      </c>
      <c r="K442" s="2" t="str">
        <f>[1]Sheet1!S436</f>
        <v>United States</v>
      </c>
      <c r="L442" s="1"/>
    </row>
    <row r="443" spans="2:12">
      <c r="B443">
        <f>[1]Sheet1!B437</f>
        <v>434</v>
      </c>
      <c r="C443" s="2">
        <f>[1]Sheet1!C437</f>
        <v>2022</v>
      </c>
      <c r="D443" s="2" t="str">
        <f>[1]Sheet1!F437</f>
        <v>Data Scientist</v>
      </c>
      <c r="E443" s="2" t="str">
        <f>[1]Sheet1!Y436</f>
        <v>Entry-Level</v>
      </c>
      <c r="F443" s="2" t="str">
        <f>[1]Sheet1!Q437</f>
        <v>100000 $</v>
      </c>
      <c r="G443" s="3">
        <f>[1]Sheet1!I437</f>
        <v>100000</v>
      </c>
      <c r="H443" s="2" t="str">
        <f>[1]Sheet1!N437</f>
        <v>Part-Time</v>
      </c>
      <c r="I443" s="2" t="str">
        <f>[1]Sheet1!O437</f>
        <v>Contract</v>
      </c>
      <c r="J443" s="2" t="str">
        <f>[1]Sheet1!R437</f>
        <v>Algeria</v>
      </c>
      <c r="K443" s="2" t="str">
        <f>[1]Sheet1!S437</f>
        <v>Algeria</v>
      </c>
      <c r="L443" s="1"/>
    </row>
    <row r="444" spans="2:12">
      <c r="B444">
        <f>[1]Sheet1!B438</f>
        <v>435</v>
      </c>
      <c r="C444" s="2">
        <f>[1]Sheet1!C438</f>
        <v>2022</v>
      </c>
      <c r="D444" s="2" t="str">
        <f>[1]Sheet1!F438</f>
        <v>Data Scientist</v>
      </c>
      <c r="E444" s="2" t="str">
        <f>[1]Sheet1!Y437</f>
        <v>Mid-Level</v>
      </c>
      <c r="F444" s="2" t="str">
        <f>[1]Sheet1!Q438</f>
        <v>100000 $</v>
      </c>
      <c r="G444" s="3">
        <f>[1]Sheet1!I438</f>
        <v>100000</v>
      </c>
      <c r="H444" s="2" t="str">
        <f>[1]Sheet1!N438</f>
        <v>Freelance</v>
      </c>
      <c r="I444" s="2" t="str">
        <f>[1]Sheet1!O438</f>
        <v>Contract</v>
      </c>
      <c r="J444" s="2" t="str">
        <f>[1]Sheet1!R438</f>
        <v>Canada</v>
      </c>
      <c r="K444" s="2" t="str">
        <f>[1]Sheet1!S438</f>
        <v>United States</v>
      </c>
      <c r="L444" s="1"/>
    </row>
    <row r="445" spans="2:12">
      <c r="B445">
        <f>[1]Sheet1!B439</f>
        <v>436</v>
      </c>
      <c r="C445" s="2">
        <f>[1]Sheet1!C439</f>
        <v>2022</v>
      </c>
      <c r="D445" s="2" t="str">
        <f>[1]Sheet1!F439</f>
        <v>Applied Machine Learning Scientist</v>
      </c>
      <c r="E445" s="2" t="str">
        <f>[1]Sheet1!Y438</f>
        <v>Entry-Level</v>
      </c>
      <c r="F445" s="2" t="str">
        <f>[1]Sheet1!Q439</f>
        <v>29000 €</v>
      </c>
      <c r="G445" s="3">
        <f>[1]Sheet1!I439</f>
        <v>31875</v>
      </c>
      <c r="H445" s="2" t="str">
        <f>[1]Sheet1!N439</f>
        <v>Contract</v>
      </c>
      <c r="I445" s="2" t="str">
        <f>[1]Sheet1!O439</f>
        <v>Contract</v>
      </c>
      <c r="J445" s="2" t="str">
        <f>[1]Sheet1!R439</f>
        <v>Tunisia</v>
      </c>
      <c r="K445" s="2" t="str">
        <f>[1]Sheet1!S439</f>
        <v>Czech Republic</v>
      </c>
      <c r="L445" s="1"/>
    </row>
    <row r="446" spans="2:12">
      <c r="B446">
        <f>[1]Sheet1!B440</f>
        <v>437</v>
      </c>
      <c r="C446" s="2">
        <f>[1]Sheet1!C440</f>
        <v>2022</v>
      </c>
      <c r="D446" s="2" t="str">
        <f>[1]Sheet1!F440</f>
        <v>Head of Data</v>
      </c>
      <c r="E446" s="2" t="str">
        <f>[1]Sheet1!Y439</f>
        <v>Senior-Level</v>
      </c>
      <c r="F446" s="2" t="str">
        <f>[1]Sheet1!Q440</f>
        <v>200000 $</v>
      </c>
      <c r="G446" s="3">
        <f>[1]Sheet1!I440</f>
        <v>200000</v>
      </c>
      <c r="H446" s="2" t="str">
        <f>[1]Sheet1!N440</f>
        <v>Full-Time</v>
      </c>
      <c r="I446" s="2" t="str">
        <f>[1]Sheet1!O440</f>
        <v>Contract</v>
      </c>
      <c r="J446" s="2" t="str">
        <f>[1]Sheet1!R440</f>
        <v>Malaysia</v>
      </c>
      <c r="K446" s="2" t="str">
        <f>[1]Sheet1!S440</f>
        <v>United States</v>
      </c>
      <c r="L446" s="1"/>
    </row>
    <row r="447" spans="2:12">
      <c r="B447">
        <f>[1]Sheet1!B441</f>
        <v>438</v>
      </c>
      <c r="C447" s="2">
        <f>[1]Sheet1!C441</f>
        <v>2022</v>
      </c>
      <c r="D447" s="2" t="str">
        <f>[1]Sheet1!F441</f>
        <v>Principal Data Analyst</v>
      </c>
      <c r="E447" s="2" t="str">
        <f>[1]Sheet1!Y440</f>
        <v>Mid-Level</v>
      </c>
      <c r="F447" s="2" t="str">
        <f>[1]Sheet1!Q441</f>
        <v>75000 $</v>
      </c>
      <c r="G447" s="3">
        <f>[1]Sheet1!I441</f>
        <v>75000</v>
      </c>
      <c r="H447" s="2" t="str">
        <f>[1]Sheet1!N441</f>
        <v>Full-Time</v>
      </c>
      <c r="I447" s="2" t="str">
        <f>[1]Sheet1!O441</f>
        <v>Small</v>
      </c>
      <c r="J447" s="2" t="str">
        <f>[1]Sheet1!R441</f>
        <v>Canada</v>
      </c>
      <c r="K447" s="2" t="str">
        <f>[1]Sheet1!S441</f>
        <v>Canada</v>
      </c>
      <c r="L447" s="1"/>
    </row>
    <row r="448" spans="2:12">
      <c r="B448">
        <f>[1]Sheet1!B442</f>
        <v>439</v>
      </c>
      <c r="C448" s="2">
        <f>[1]Sheet1!C442</f>
        <v>2022</v>
      </c>
      <c r="D448" s="2" t="str">
        <f>[1]Sheet1!F442</f>
        <v>Data Scientist</v>
      </c>
      <c r="E448" s="2" t="str">
        <f>[1]Sheet1!Y441</f>
        <v>Mid-Level</v>
      </c>
      <c r="F448" s="2" t="str">
        <f>[1]Sheet1!Q442</f>
        <v>150000 zł</v>
      </c>
      <c r="G448" s="3">
        <f>[1]Sheet1!I442</f>
        <v>35590</v>
      </c>
      <c r="H448" s="2" t="str">
        <f>[1]Sheet1!N442</f>
        <v>Full-Time</v>
      </c>
      <c r="I448" s="2" t="str">
        <f>[1]Sheet1!O442</f>
        <v>Large</v>
      </c>
      <c r="J448" s="2" t="str">
        <f>[1]Sheet1!R442</f>
        <v>Poland</v>
      </c>
      <c r="K448" s="2" t="str">
        <f>[1]Sheet1!S442</f>
        <v>Poland</v>
      </c>
      <c r="L448" s="1"/>
    </row>
    <row r="449" spans="2:12">
      <c r="B449">
        <f>[1]Sheet1!B443</f>
        <v>440</v>
      </c>
      <c r="C449" s="2">
        <f>[1]Sheet1!C443</f>
        <v>2022</v>
      </c>
      <c r="D449" s="2" t="str">
        <f>[1]Sheet1!F443</f>
        <v>Data Scientist</v>
      </c>
      <c r="E449" s="2" t="str">
        <f>[1]Sheet1!Y442</f>
        <v>Senior-Level</v>
      </c>
      <c r="F449" s="2" t="str">
        <f>[1]Sheet1!Q443</f>
        <v>100000 $</v>
      </c>
      <c r="G449" s="3">
        <f>[1]Sheet1!I443</f>
        <v>100000</v>
      </c>
      <c r="H449" s="2" t="str">
        <f>[1]Sheet1!N443</f>
        <v>Full-Time</v>
      </c>
      <c r="I449" s="2" t="str">
        <f>[1]Sheet1!O443</f>
        <v>Contract</v>
      </c>
      <c r="J449" s="2" t="str">
        <f>[1]Sheet1!R443</f>
        <v>Brazil</v>
      </c>
      <c r="K449" s="2" t="str">
        <f>[1]Sheet1!S443</f>
        <v>United States</v>
      </c>
      <c r="L449" s="1"/>
    </row>
    <row r="450" spans="2:12">
      <c r="B450">
        <f>[1]Sheet1!B444</f>
        <v>441</v>
      </c>
      <c r="C450" s="2">
        <f>[1]Sheet1!C444</f>
        <v>2022</v>
      </c>
      <c r="D450" s="2" t="str">
        <f>[1]Sheet1!F444</f>
        <v>Machine Learning Scientist</v>
      </c>
      <c r="E450" s="2" t="str">
        <f>[1]Sheet1!Y443</f>
        <v>Mid-Level</v>
      </c>
      <c r="F450" s="2" t="str">
        <f>[1]Sheet1!Q444</f>
        <v>153000 $</v>
      </c>
      <c r="G450" s="3">
        <f>[1]Sheet1!I444</f>
        <v>153000</v>
      </c>
      <c r="H450" s="2" t="str">
        <f>[1]Sheet1!N444</f>
        <v>Full-Time</v>
      </c>
      <c r="I450" s="2" t="str">
        <f>[1]Sheet1!O444</f>
        <v>Contract</v>
      </c>
      <c r="J450" s="2" t="str">
        <f>[1]Sheet1!R444</f>
        <v>United States</v>
      </c>
      <c r="K450" s="2" t="str">
        <f>[1]Sheet1!S444</f>
        <v>United States</v>
      </c>
      <c r="L450" s="1"/>
    </row>
    <row r="451" spans="2:12">
      <c r="B451">
        <f>[1]Sheet1!B445</f>
        <v>442</v>
      </c>
      <c r="C451" s="2">
        <f>[1]Sheet1!C445</f>
        <v>2022</v>
      </c>
      <c r="D451" s="2" t="str">
        <f>[1]Sheet1!F445</f>
        <v>Data Engineer</v>
      </c>
      <c r="E451" s="2" t="str">
        <f>[1]Sheet1!Y444</f>
        <v>Entry-Level</v>
      </c>
      <c r="F451" s="2" t="str">
        <f>[1]Sheet1!Q445</f>
        <v>52800 €</v>
      </c>
      <c r="G451" s="3">
        <f>[1]Sheet1!I445</f>
        <v>58035</v>
      </c>
      <c r="H451" s="2" t="str">
        <f>[1]Sheet1!N445</f>
        <v>Full-Time</v>
      </c>
      <c r="I451" s="2" t="str">
        <f>[1]Sheet1!O445</f>
        <v>Contract</v>
      </c>
      <c r="J451" s="2" t="str">
        <f>[1]Sheet1!R445</f>
        <v>Pakistan</v>
      </c>
      <c r="K451" s="2" t="str">
        <f>[1]Sheet1!S445</f>
        <v>Germany</v>
      </c>
      <c r="L451" s="1"/>
    </row>
    <row r="452" spans="2:12">
      <c r="B452">
        <f>[1]Sheet1!B446</f>
        <v>443</v>
      </c>
      <c r="C452" s="2">
        <f>[1]Sheet1!C446</f>
        <v>2022</v>
      </c>
      <c r="D452" s="2" t="str">
        <f>[1]Sheet1!F446</f>
        <v>Research Scientist</v>
      </c>
      <c r="E452" s="2" t="str">
        <f>[1]Sheet1!Y445</f>
        <v>Senior-Level</v>
      </c>
      <c r="F452" s="2" t="str">
        <f>[1]Sheet1!Q446</f>
        <v>85000 €</v>
      </c>
      <c r="G452" s="3">
        <f>[1]Sheet1!I446</f>
        <v>93427</v>
      </c>
      <c r="H452" s="2" t="str">
        <f>[1]Sheet1!N446</f>
        <v>Full-Time</v>
      </c>
      <c r="I452" s="2" t="str">
        <f>[1]Sheet1!O446</f>
        <v>Large</v>
      </c>
      <c r="J452" s="2" t="str">
        <f>[1]Sheet1!R446</f>
        <v>France</v>
      </c>
      <c r="K452" s="2" t="str">
        <f>[1]Sheet1!S446</f>
        <v>France</v>
      </c>
      <c r="L452" s="1"/>
    </row>
    <row r="453" spans="2:12">
      <c r="B453">
        <f>[1]Sheet1!B447</f>
        <v>444</v>
      </c>
      <c r="C453" s="2">
        <f>[1]Sheet1!C447</f>
        <v>2022</v>
      </c>
      <c r="D453" s="2" t="str">
        <f>[1]Sheet1!F447</f>
        <v>Data Scientist</v>
      </c>
      <c r="E453" s="2" t="str">
        <f>[1]Sheet1!Y446</f>
        <v>Entry-Level</v>
      </c>
      <c r="F453" s="2" t="str">
        <f>[1]Sheet1!Q447</f>
        <v>66500 C$</v>
      </c>
      <c r="G453" s="3">
        <f>[1]Sheet1!I447</f>
        <v>52396</v>
      </c>
      <c r="H453" s="2" t="str">
        <f>[1]Sheet1!N447</f>
        <v>Full-Time</v>
      </c>
      <c r="I453" s="2" t="str">
        <f>[1]Sheet1!O447</f>
        <v>Large</v>
      </c>
      <c r="J453" s="2" t="str">
        <f>[1]Sheet1!R447</f>
        <v>Canada</v>
      </c>
      <c r="K453" s="2" t="str">
        <f>[1]Sheet1!S447</f>
        <v>Canada</v>
      </c>
      <c r="L453" s="1"/>
    </row>
    <row r="454" spans="2:12">
      <c r="B454">
        <f>[1]Sheet1!B448</f>
        <v>445</v>
      </c>
      <c r="C454" s="2">
        <f>[1]Sheet1!C448</f>
        <v>2022</v>
      </c>
      <c r="D454" s="2" t="str">
        <f>[1]Sheet1!F448</f>
        <v>Machine Learning Engineer</v>
      </c>
      <c r="E454" s="2" t="str">
        <f>[1]Sheet1!Y447</f>
        <v>Senior-Level</v>
      </c>
      <c r="F454" s="2" t="str">
        <f>[1]Sheet1!Q448</f>
        <v>57000 €</v>
      </c>
      <c r="G454" s="3">
        <f>[1]Sheet1!I448</f>
        <v>62651</v>
      </c>
      <c r="H454" s="2" t="str">
        <f>[1]Sheet1!N448</f>
        <v>Full-Time</v>
      </c>
      <c r="I454" s="2" t="str">
        <f>[1]Sheet1!O448</f>
        <v>Large</v>
      </c>
      <c r="J454" s="2" t="str">
        <f>[1]Sheet1!R448</f>
        <v>Netherlands</v>
      </c>
      <c r="K454" s="2" t="str">
        <f>[1]Sheet1!S448</f>
        <v>Netherlands</v>
      </c>
      <c r="L454" s="1"/>
    </row>
    <row r="455" spans="2:12">
      <c r="B455">
        <f>[1]Sheet1!B449</f>
        <v>446</v>
      </c>
      <c r="C455" s="2">
        <f>[1]Sheet1!C449</f>
        <v>2022</v>
      </c>
      <c r="D455" s="2" t="str">
        <f>[1]Sheet1!F449</f>
        <v>Head of Data</v>
      </c>
      <c r="E455" s="2" t="str">
        <f>[1]Sheet1!Y448</f>
        <v>Mid-Level</v>
      </c>
      <c r="F455" s="2" t="str">
        <f>[1]Sheet1!Q449</f>
        <v>30000 €</v>
      </c>
      <c r="G455" s="3">
        <f>[1]Sheet1!I449</f>
        <v>32974</v>
      </c>
      <c r="H455" s="2" t="str">
        <f>[1]Sheet1!N449</f>
        <v>Full-Time</v>
      </c>
      <c r="I455" s="2" t="str">
        <f>[1]Sheet1!O449</f>
        <v>Small</v>
      </c>
      <c r="J455" s="2" t="str">
        <f>[1]Sheet1!R449</f>
        <v>Estonia</v>
      </c>
      <c r="K455" s="2" t="str">
        <f>[1]Sheet1!S449</f>
        <v>Estonia</v>
      </c>
      <c r="L455" s="1"/>
    </row>
    <row r="456" spans="2:12">
      <c r="B456">
        <f>[1]Sheet1!B450</f>
        <v>447</v>
      </c>
      <c r="C456" s="2">
        <f>[1]Sheet1!C450</f>
        <v>2022</v>
      </c>
      <c r="D456" s="2" t="str">
        <f>[1]Sheet1!F450</f>
        <v>Data Scientist</v>
      </c>
      <c r="E456" s="2" t="str">
        <f>[1]Sheet1!Y449</f>
        <v>Entry-Level</v>
      </c>
      <c r="F456" s="2" t="str">
        <f>[1]Sheet1!Q450</f>
        <v>40000 $</v>
      </c>
      <c r="G456" s="3">
        <f>[1]Sheet1!I450</f>
        <v>40000</v>
      </c>
      <c r="H456" s="2" t="str">
        <f>[1]Sheet1!N450</f>
        <v>Full-Time</v>
      </c>
      <c r="I456" s="2" t="str">
        <f>[1]Sheet1!O450</f>
        <v>Large</v>
      </c>
      <c r="J456" s="2" t="str">
        <f>[1]Sheet1!R450</f>
        <v>Japan</v>
      </c>
      <c r="K456" s="2" t="str">
        <f>[1]Sheet1!S450</f>
        <v>Malaysia</v>
      </c>
      <c r="L456" s="1"/>
    </row>
    <row r="457" spans="2:12">
      <c r="B457">
        <f>[1]Sheet1!B451</f>
        <v>448</v>
      </c>
      <c r="C457" s="2">
        <f>[1]Sheet1!C451</f>
        <v>2022</v>
      </c>
      <c r="D457" s="2" t="str">
        <f>[1]Sheet1!F451</f>
        <v>Machine Learning Engineer</v>
      </c>
      <c r="E457" s="2" t="str">
        <f>[1]Sheet1!Y450</f>
        <v>Mid-Level</v>
      </c>
      <c r="F457" s="2" t="str">
        <f>[1]Sheet1!Q451</f>
        <v>121000 A$</v>
      </c>
      <c r="G457" s="3">
        <f>[1]Sheet1!I451</f>
        <v>87425</v>
      </c>
      <c r="H457" s="2" t="str">
        <f>[1]Sheet1!N451</f>
        <v>Full-Time</v>
      </c>
      <c r="I457" s="2" t="str">
        <f>[1]Sheet1!O451</f>
        <v>Large</v>
      </c>
      <c r="J457" s="2" t="str">
        <f>[1]Sheet1!R451</f>
        <v>Australia</v>
      </c>
      <c r="K457" s="2" t="str">
        <f>[1]Sheet1!S451</f>
        <v>Australia</v>
      </c>
      <c r="L457" s="1"/>
    </row>
    <row r="458" spans="2:12">
      <c r="B458">
        <f>[1]Sheet1!B452</f>
        <v>449</v>
      </c>
      <c r="C458" s="2">
        <f>[1]Sheet1!C452</f>
        <v>2022</v>
      </c>
      <c r="D458" s="2" t="str">
        <f>[1]Sheet1!F452</f>
        <v>Data Scientist</v>
      </c>
      <c r="E458" s="2" t="str">
        <f>[1]Sheet1!Y451</f>
        <v>Entry-Level</v>
      </c>
      <c r="F458" s="2" t="str">
        <f>[1]Sheet1!Q452</f>
        <v>120000 A$</v>
      </c>
      <c r="G458" s="3">
        <f>[1]Sheet1!I452</f>
        <v>86703</v>
      </c>
      <c r="H458" s="2" t="str">
        <f>[1]Sheet1!N452</f>
        <v>Full-Time</v>
      </c>
      <c r="I458" s="2" t="str">
        <f>[1]Sheet1!O452</f>
        <v>Contract</v>
      </c>
      <c r="J458" s="2" t="str">
        <f>[1]Sheet1!R452</f>
        <v>Australia</v>
      </c>
      <c r="K458" s="2" t="str">
        <f>[1]Sheet1!S452</f>
        <v>Australia</v>
      </c>
      <c r="L458" s="1"/>
    </row>
    <row r="459" spans="2:12">
      <c r="B459">
        <f>[1]Sheet1!B453</f>
        <v>450</v>
      </c>
      <c r="C459" s="2">
        <f>[1]Sheet1!C453</f>
        <v>2022</v>
      </c>
      <c r="D459" s="2" t="str">
        <f>[1]Sheet1!F453</f>
        <v>Applied Machine Learning Scientist</v>
      </c>
      <c r="E459" s="2" t="str">
        <f>[1]Sheet1!Y452</f>
        <v>Mid-Level</v>
      </c>
      <c r="F459" s="2" t="str">
        <f>[1]Sheet1!Q453</f>
        <v>75000 $</v>
      </c>
      <c r="G459" s="3">
        <f>[1]Sheet1!I453</f>
        <v>75000</v>
      </c>
      <c r="H459" s="2" t="str">
        <f>[1]Sheet1!N453</f>
        <v>Full-Time</v>
      </c>
      <c r="I459" s="2" t="str">
        <f>[1]Sheet1!O453</f>
        <v>Large</v>
      </c>
      <c r="J459" s="2" t="str">
        <f>[1]Sheet1!R453</f>
        <v>Bolivia</v>
      </c>
      <c r="K459" s="2" t="str">
        <f>[1]Sheet1!S453</f>
        <v>United States</v>
      </c>
      <c r="L459" s="1"/>
    </row>
    <row r="460" spans="2:12">
      <c r="B460">
        <f>[1]Sheet1!B454</f>
        <v>451</v>
      </c>
      <c r="C460" s="2">
        <f>[1]Sheet1!C454</f>
        <v>2022</v>
      </c>
      <c r="D460" s="2" t="str">
        <f>[1]Sheet1!F454</f>
        <v>Research Scientist</v>
      </c>
      <c r="E460" s="2" t="str">
        <f>[1]Sheet1!Y453</f>
        <v>Mid-Level</v>
      </c>
      <c r="F460" s="2" t="str">
        <f>[1]Sheet1!Q454</f>
        <v>59000 €</v>
      </c>
      <c r="G460" s="3">
        <f>[1]Sheet1!I454</f>
        <v>64849</v>
      </c>
      <c r="H460" s="2" t="str">
        <f>[1]Sheet1!N454</f>
        <v>Full-Time</v>
      </c>
      <c r="I460" s="2" t="str">
        <f>[1]Sheet1!O454</f>
        <v>Large</v>
      </c>
      <c r="J460" s="2" t="str">
        <f>[1]Sheet1!R454</f>
        <v>Austria</v>
      </c>
      <c r="K460" s="2" t="str">
        <f>[1]Sheet1!S454</f>
        <v>Austria</v>
      </c>
      <c r="L460" s="1"/>
    </row>
    <row r="461" spans="2:12">
      <c r="B461">
        <f>[1]Sheet1!B455</f>
        <v>452</v>
      </c>
      <c r="C461" s="2">
        <f>[1]Sheet1!C455</f>
        <v>2022</v>
      </c>
      <c r="D461" s="2" t="str">
        <f>[1]Sheet1!F455</f>
        <v>Research Scientist</v>
      </c>
      <c r="E461" s="2" t="str">
        <f>[1]Sheet1!Y454</f>
        <v>Entry-Level</v>
      </c>
      <c r="F461" s="2" t="str">
        <f>[1]Sheet1!Q455</f>
        <v>120000 $</v>
      </c>
      <c r="G461" s="3">
        <f>[1]Sheet1!I455</f>
        <v>120000</v>
      </c>
      <c r="H461" s="2" t="str">
        <f>[1]Sheet1!N455</f>
        <v>Full-Time</v>
      </c>
      <c r="I461" s="2" t="str">
        <f>[1]Sheet1!O455</f>
        <v>Large</v>
      </c>
      <c r="J461" s="2" t="str">
        <f>[1]Sheet1!R455</f>
        <v>United States</v>
      </c>
      <c r="K461" s="2" t="str">
        <f>[1]Sheet1!S455</f>
        <v>United States</v>
      </c>
      <c r="L461" s="1"/>
    </row>
    <row r="462" spans="2:12">
      <c r="B462">
        <f>[1]Sheet1!B456</f>
        <v>453</v>
      </c>
      <c r="C462" s="2">
        <f>[1]Sheet1!C456</f>
        <v>2022</v>
      </c>
      <c r="D462" s="2" t="str">
        <f>[1]Sheet1!F456</f>
        <v>Applied Data Scientist</v>
      </c>
      <c r="E462" s="2" t="str">
        <f>[1]Sheet1!Y455</f>
        <v>Mid-Level</v>
      </c>
      <c r="F462" s="2" t="str">
        <f>[1]Sheet1!Q456</f>
        <v>157000 $</v>
      </c>
      <c r="G462" s="3">
        <f>[1]Sheet1!I456</f>
        <v>157000</v>
      </c>
      <c r="H462" s="2" t="str">
        <f>[1]Sheet1!N456</f>
        <v>Full-Time</v>
      </c>
      <c r="I462" s="2" t="str">
        <f>[1]Sheet1!O456</f>
        <v>Large</v>
      </c>
      <c r="J462" s="2" t="str">
        <f>[1]Sheet1!R456</f>
        <v>United States</v>
      </c>
      <c r="K462" s="2" t="str">
        <f>[1]Sheet1!S456</f>
        <v>United States</v>
      </c>
      <c r="L462" s="1"/>
    </row>
    <row r="463" spans="2:12">
      <c r="B463">
        <f>[1]Sheet1!B457</f>
        <v>454</v>
      </c>
      <c r="C463" s="2">
        <f>[1]Sheet1!C457</f>
        <v>2022</v>
      </c>
      <c r="D463" s="2" t="str">
        <f>[1]Sheet1!F457</f>
        <v>Computer Vision Software Engineer</v>
      </c>
      <c r="E463" s="2" t="str">
        <f>[1]Sheet1!Y456</f>
        <v>Entry-Level</v>
      </c>
      <c r="F463" s="2" t="str">
        <f>[1]Sheet1!Q457</f>
        <v>150000 $</v>
      </c>
      <c r="G463" s="3">
        <f>[1]Sheet1!I457</f>
        <v>150000</v>
      </c>
      <c r="H463" s="2" t="str">
        <f>[1]Sheet1!N457</f>
        <v>Full-Time</v>
      </c>
      <c r="I463" s="2" t="str">
        <f>[1]Sheet1!O457</f>
        <v>Small</v>
      </c>
      <c r="J463" s="2" t="str">
        <f>[1]Sheet1!R457</f>
        <v>Australia</v>
      </c>
      <c r="K463" s="2" t="str">
        <f>[1]Sheet1!S457</f>
        <v>Australia</v>
      </c>
      <c r="L463" s="1"/>
    </row>
    <row r="464" spans="2:12">
      <c r="B464">
        <f>[1]Sheet1!B458</f>
        <v>455</v>
      </c>
      <c r="C464" s="2">
        <f>[1]Sheet1!C458</f>
        <v>2022</v>
      </c>
      <c r="D464" s="2" t="str">
        <f>[1]Sheet1!F458</f>
        <v>Business Data Analyst</v>
      </c>
      <c r="E464" s="2" t="str">
        <f>[1]Sheet1!Y457</f>
        <v>Mid-Level</v>
      </c>
      <c r="F464" s="2" t="str">
        <f>[1]Sheet1!Q458</f>
        <v>90000 C$</v>
      </c>
      <c r="G464" s="3">
        <f>[1]Sheet1!I458</f>
        <v>70912</v>
      </c>
      <c r="H464" s="2" t="str">
        <f>[1]Sheet1!N458</f>
        <v>Full-Time</v>
      </c>
      <c r="I464" s="2" t="str">
        <f>[1]Sheet1!O458</f>
        <v>Large</v>
      </c>
      <c r="J464" s="2" t="str">
        <f>[1]Sheet1!R458</f>
        <v>Canada</v>
      </c>
      <c r="K464" s="2" t="str">
        <f>[1]Sheet1!S458</f>
        <v>Canada</v>
      </c>
      <c r="L464" s="1"/>
    </row>
    <row r="465" spans="2:12">
      <c r="B465">
        <f>[1]Sheet1!B459</f>
        <v>456</v>
      </c>
      <c r="C465" s="2">
        <f>[1]Sheet1!C459</f>
        <v>2022</v>
      </c>
      <c r="D465" s="2" t="str">
        <f>[1]Sheet1!F459</f>
        <v>Data Engineer</v>
      </c>
      <c r="E465" s="2" t="str">
        <f>[1]Sheet1!Y458</f>
        <v>Entry-Level</v>
      </c>
      <c r="F465" s="2" t="str">
        <f>[1]Sheet1!Q459</f>
        <v>65000 $</v>
      </c>
      <c r="G465" s="3">
        <f>[1]Sheet1!I459</f>
        <v>65000</v>
      </c>
      <c r="H465" s="2" t="str">
        <f>[1]Sheet1!N459</f>
        <v>Full-Time</v>
      </c>
      <c r="I465" s="2" t="str">
        <f>[1]Sheet1!O459</f>
        <v>Small</v>
      </c>
      <c r="J465" s="2" t="str">
        <f>[1]Sheet1!R459</f>
        <v>United States</v>
      </c>
      <c r="K465" s="2" t="str">
        <f>[1]Sheet1!S459</f>
        <v>United States</v>
      </c>
      <c r="L465" s="1"/>
    </row>
    <row r="466" spans="2:12">
      <c r="B466">
        <f>[1]Sheet1!B460</f>
        <v>457</v>
      </c>
      <c r="C466" s="2">
        <f>[1]Sheet1!C460</f>
        <v>2022</v>
      </c>
      <c r="D466" s="2" t="str">
        <f>[1]Sheet1!F460</f>
        <v>Machine Learning Engineer</v>
      </c>
      <c r="E466" s="2" t="str">
        <f>[1]Sheet1!Y459</f>
        <v>Senior-Level</v>
      </c>
      <c r="F466" s="2" t="str">
        <f>[1]Sheet1!Q460</f>
        <v>65000 €</v>
      </c>
      <c r="G466" s="3">
        <f>[1]Sheet1!I460</f>
        <v>71444</v>
      </c>
      <c r="H466" s="2" t="str">
        <f>[1]Sheet1!N460</f>
        <v>Full-Time</v>
      </c>
      <c r="I466" s="2" t="str">
        <f>[1]Sheet1!O460</f>
        <v>Small</v>
      </c>
      <c r="J466" s="2" t="str">
        <f>[1]Sheet1!R460</f>
        <v>Ireland</v>
      </c>
      <c r="K466" s="2" t="str">
        <f>[1]Sheet1!S460</f>
        <v>Ireland</v>
      </c>
      <c r="L466" s="1"/>
    </row>
    <row r="467" spans="2:12">
      <c r="B467">
        <f>[1]Sheet1!B461</f>
        <v>458</v>
      </c>
      <c r="C467" s="2">
        <f>[1]Sheet1!C461</f>
        <v>2022</v>
      </c>
      <c r="D467" s="2" t="str">
        <f>[1]Sheet1!F461</f>
        <v>Data Analytics Engineer</v>
      </c>
      <c r="E467" s="2" t="str">
        <f>[1]Sheet1!Y460</f>
        <v>Entry-Level</v>
      </c>
      <c r="F467" s="2" t="str">
        <f>[1]Sheet1!Q461</f>
        <v>20000 $</v>
      </c>
      <c r="G467" s="3">
        <f>[1]Sheet1!I461</f>
        <v>20000</v>
      </c>
      <c r="H467" s="2" t="str">
        <f>[1]Sheet1!N461</f>
        <v>Full-Time</v>
      </c>
      <c r="I467" s="2" t="str">
        <f>[1]Sheet1!O461</f>
        <v>Contract</v>
      </c>
      <c r="J467" s="2" t="str">
        <f>[1]Sheet1!R461</f>
        <v>Pakistan</v>
      </c>
      <c r="K467" s="2" t="str">
        <f>[1]Sheet1!S461</f>
        <v>Pakistan</v>
      </c>
      <c r="L467" s="1"/>
    </row>
    <row r="468" spans="2:12">
      <c r="B468">
        <f>[1]Sheet1!B462</f>
        <v>459</v>
      </c>
      <c r="C468" s="2">
        <f>[1]Sheet1!C462</f>
        <v>2022</v>
      </c>
      <c r="D468" s="2" t="str">
        <f>[1]Sheet1!F462</f>
        <v>Data Scientist</v>
      </c>
      <c r="E468" s="2" t="str">
        <f>[1]Sheet1!Y461</f>
        <v>Mid-Level</v>
      </c>
      <c r="F468" s="2" t="str">
        <f>[1]Sheet1!Q462</f>
        <v>48000 $</v>
      </c>
      <c r="G468" s="3">
        <f>[1]Sheet1!I462</f>
        <v>48000</v>
      </c>
      <c r="H468" s="2" t="str">
        <f>[1]Sheet1!N462</f>
        <v>Full-Time</v>
      </c>
      <c r="I468" s="2" t="str">
        <f>[1]Sheet1!O462</f>
        <v>Small</v>
      </c>
      <c r="J468" s="2" t="str">
        <f>[1]Sheet1!R462</f>
        <v>Russia</v>
      </c>
      <c r="K468" s="2" t="str">
        <f>[1]Sheet1!S462</f>
        <v>United States</v>
      </c>
      <c r="L468" s="1"/>
    </row>
    <row r="469" spans="2:12">
      <c r="B469">
        <f>[1]Sheet1!B463</f>
        <v>460</v>
      </c>
      <c r="C469" s="2">
        <f>[1]Sheet1!C463</f>
        <v>2022</v>
      </c>
      <c r="D469" s="2" t="str">
        <f>[1]Sheet1!F463</f>
        <v>Data Science Manager</v>
      </c>
      <c r="E469" s="2" t="str">
        <f>[1]Sheet1!Y462</f>
        <v>Senior-Level</v>
      </c>
      <c r="F469" s="2" t="str">
        <f>[1]Sheet1!Q463</f>
        <v>152500 $</v>
      </c>
      <c r="G469" s="3">
        <f>[1]Sheet1!I463</f>
        <v>152500</v>
      </c>
      <c r="H469" s="2" t="str">
        <f>[1]Sheet1!N463</f>
        <v>Full-Time</v>
      </c>
      <c r="I469" s="2" t="str">
        <f>[1]Sheet1!O463</f>
        <v>Contract</v>
      </c>
      <c r="J469" s="2" t="str">
        <f>[1]Sheet1!R463</f>
        <v>United States</v>
      </c>
      <c r="K469" s="2" t="str">
        <f>[1]Sheet1!S463</f>
        <v>United States</v>
      </c>
      <c r="L469" s="1"/>
    </row>
    <row r="470" spans="2:12">
      <c r="B470">
        <f>[1]Sheet1!B464</f>
        <v>461</v>
      </c>
      <c r="C470" s="2">
        <f>[1]Sheet1!C464</f>
        <v>2022</v>
      </c>
      <c r="D470" s="2" t="str">
        <f>[1]Sheet1!F464</f>
        <v>Data Engineer</v>
      </c>
      <c r="E470" s="2" t="str">
        <f>[1]Sheet1!Y463</f>
        <v>Mid-Level</v>
      </c>
      <c r="F470" s="2" t="str">
        <f>[1]Sheet1!Q464</f>
        <v>62000 €</v>
      </c>
      <c r="G470" s="3">
        <f>[1]Sheet1!I464</f>
        <v>68147</v>
      </c>
      <c r="H470" s="2" t="str">
        <f>[1]Sheet1!N464</f>
        <v>Full-Time</v>
      </c>
      <c r="I470" s="2" t="str">
        <f>[1]Sheet1!O464</f>
        <v>Contract</v>
      </c>
      <c r="J470" s="2" t="str">
        <f>[1]Sheet1!R464</f>
        <v>France</v>
      </c>
      <c r="K470" s="2" t="str">
        <f>[1]Sheet1!S464</f>
        <v>France</v>
      </c>
      <c r="L470" s="1"/>
    </row>
    <row r="471" spans="2:12">
      <c r="B471">
        <f>[1]Sheet1!B465</f>
        <v>462</v>
      </c>
      <c r="C471" s="2">
        <f>[1]Sheet1!C465</f>
        <v>2022</v>
      </c>
      <c r="D471" s="2" t="str">
        <f>[1]Sheet1!F465</f>
        <v>Data Scientist</v>
      </c>
      <c r="E471" s="2" t="str">
        <f>[1]Sheet1!Y464</f>
        <v>Mid-Level</v>
      </c>
      <c r="F471" s="2" t="str">
        <f>[1]Sheet1!Q465</f>
        <v>115000 CHF</v>
      </c>
      <c r="G471" s="3">
        <f>[1]Sheet1!I465</f>
        <v>122346</v>
      </c>
      <c r="H471" s="2" t="str">
        <f>[1]Sheet1!N465</f>
        <v>Full-Time</v>
      </c>
      <c r="I471" s="2" t="str">
        <f>[1]Sheet1!O465</f>
        <v>Large</v>
      </c>
      <c r="J471" s="2" t="str">
        <f>[1]Sheet1!R465</f>
        <v>Switzerland</v>
      </c>
      <c r="K471" s="2" t="str">
        <f>[1]Sheet1!S465</f>
        <v>Switzerland</v>
      </c>
      <c r="L471" s="1"/>
    </row>
    <row r="472" spans="2:12">
      <c r="B472">
        <f>[1]Sheet1!B466</f>
        <v>463</v>
      </c>
      <c r="C472" s="2">
        <f>[1]Sheet1!C466</f>
        <v>2022</v>
      </c>
      <c r="D472" s="2" t="str">
        <f>[1]Sheet1!F466</f>
        <v>Applied Data Scientist</v>
      </c>
      <c r="E472" s="2" t="str">
        <f>[1]Sheet1!Y465</f>
        <v>Senior-Level</v>
      </c>
      <c r="F472" s="2" t="str">
        <f>[1]Sheet1!Q466</f>
        <v>380000 $</v>
      </c>
      <c r="G472" s="3">
        <f>[1]Sheet1!I466</f>
        <v>380000</v>
      </c>
      <c r="H472" s="2" t="str">
        <f>[1]Sheet1!N466</f>
        <v>Full-Time</v>
      </c>
      <c r="I472" s="2" t="str">
        <f>[1]Sheet1!O466</f>
        <v>Large</v>
      </c>
      <c r="J472" s="2" t="str">
        <f>[1]Sheet1!R466</f>
        <v>United States</v>
      </c>
      <c r="K472" s="2" t="str">
        <f>[1]Sheet1!S466</f>
        <v>United States</v>
      </c>
      <c r="L472" s="1"/>
    </row>
    <row r="473" spans="2:12">
      <c r="B473">
        <f>[1]Sheet1!B467</f>
        <v>464</v>
      </c>
      <c r="C473" s="2">
        <f>[1]Sheet1!C467</f>
        <v>2022</v>
      </c>
      <c r="D473" s="2" t="str">
        <f>[1]Sheet1!F467</f>
        <v>Data Scientist</v>
      </c>
      <c r="E473" s="2" t="str">
        <f>[1]Sheet1!Y466</f>
        <v>Mid-Level</v>
      </c>
      <c r="F473" s="2" t="str">
        <f>[1]Sheet1!Q467</f>
        <v>88000 C$</v>
      </c>
      <c r="G473" s="3">
        <f>[1]Sheet1!I467</f>
        <v>69336</v>
      </c>
      <c r="H473" s="2" t="str">
        <f>[1]Sheet1!N467</f>
        <v>Full-Time</v>
      </c>
      <c r="I473" s="2" t="str">
        <f>[1]Sheet1!O467</f>
        <v>Contract</v>
      </c>
      <c r="J473" s="2" t="str">
        <f>[1]Sheet1!R467</f>
        <v>Canada</v>
      </c>
      <c r="K473" s="2" t="str">
        <f>[1]Sheet1!S467</f>
        <v>Canada</v>
      </c>
      <c r="L473" s="1"/>
    </row>
    <row r="474" spans="2:12">
      <c r="B474">
        <f>[1]Sheet1!B468</f>
        <v>465</v>
      </c>
      <c r="C474" s="2">
        <f>[1]Sheet1!C468</f>
        <v>2022</v>
      </c>
      <c r="D474" s="2" t="str">
        <f>[1]Sheet1!F468</f>
        <v>Computer Vision Engineer</v>
      </c>
      <c r="E474" s="2" t="str">
        <f>[1]Sheet1!Y467</f>
        <v>Entry-Level</v>
      </c>
      <c r="F474" s="2" t="str">
        <f>[1]Sheet1!Q468</f>
        <v>10000 $</v>
      </c>
      <c r="G474" s="3">
        <f>[1]Sheet1!I468</f>
        <v>10000</v>
      </c>
      <c r="H474" s="2" t="str">
        <f>[1]Sheet1!N468</f>
        <v>Full-Time</v>
      </c>
      <c r="I474" s="2" t="str">
        <f>[1]Sheet1!O468</f>
        <v>Contract</v>
      </c>
      <c r="J474" s="2" t="str">
        <f>[1]Sheet1!R468</f>
        <v>Portugal</v>
      </c>
      <c r="K474" s="2" t="str">
        <f>[1]Sheet1!S468</f>
        <v>Luxembourg</v>
      </c>
      <c r="L474" s="1"/>
    </row>
    <row r="475" spans="2:12">
      <c r="B475">
        <f>[1]Sheet1!B469</f>
        <v>466</v>
      </c>
      <c r="C475" s="2">
        <f>[1]Sheet1!C469</f>
        <v>2022</v>
      </c>
      <c r="D475" s="2" t="str">
        <f>[1]Sheet1!F469</f>
        <v>Data Analyst</v>
      </c>
      <c r="E475" s="2" t="str">
        <f>[1]Sheet1!Y468</f>
        <v>Mid-Level</v>
      </c>
      <c r="F475" s="2" t="str">
        <f>[1]Sheet1!Q469</f>
        <v>20000 $</v>
      </c>
      <c r="G475" s="3">
        <f>[1]Sheet1!I469</f>
        <v>20000</v>
      </c>
      <c r="H475" s="2" t="str">
        <f>[1]Sheet1!N469</f>
        <v>Full-Time</v>
      </c>
      <c r="I475" s="2" t="str">
        <f>[1]Sheet1!O469</f>
        <v>Small</v>
      </c>
      <c r="J475" s="2" t="str">
        <f>[1]Sheet1!R469</f>
        <v>Greece</v>
      </c>
      <c r="K475" s="2" t="str">
        <f>[1]Sheet1!S469</f>
        <v>Greece</v>
      </c>
      <c r="L475" s="1"/>
    </row>
    <row r="476" spans="2:12">
      <c r="B476">
        <f>[1]Sheet1!B470</f>
        <v>467</v>
      </c>
      <c r="C476" s="2">
        <f>[1]Sheet1!C470</f>
        <v>2022</v>
      </c>
      <c r="D476" s="2" t="str">
        <f>[1]Sheet1!F470</f>
        <v>Data Analytics Lead</v>
      </c>
      <c r="E476" s="2" t="str">
        <f>[1]Sheet1!Y469</f>
        <v>Senior-Level</v>
      </c>
      <c r="F476" s="2" t="str">
        <f>[1]Sheet1!Q470</f>
        <v>405000 $</v>
      </c>
      <c r="G476" s="3">
        <f>[1]Sheet1!I470</f>
        <v>405000</v>
      </c>
      <c r="H476" s="2" t="str">
        <f>[1]Sheet1!N470</f>
        <v>Full-Time</v>
      </c>
      <c r="I476" s="2" t="str">
        <f>[1]Sheet1!O470</f>
        <v>Large</v>
      </c>
      <c r="J476" s="2" t="str">
        <f>[1]Sheet1!R470</f>
        <v>United States</v>
      </c>
      <c r="K476" s="2" t="str">
        <f>[1]Sheet1!S470</f>
        <v>United States</v>
      </c>
      <c r="L476" s="1"/>
    </row>
    <row r="477" spans="2:12">
      <c r="B477">
        <f>[1]Sheet1!B471</f>
        <v>468</v>
      </c>
      <c r="C477" s="2">
        <f>[1]Sheet1!C471</f>
        <v>2022</v>
      </c>
      <c r="D477" s="2" t="str">
        <f>[1]Sheet1!F471</f>
        <v>Applied Data Scientist</v>
      </c>
      <c r="E477" s="2" t="str">
        <f>[1]Sheet1!Y470</f>
        <v>Senior-Level</v>
      </c>
      <c r="F477" s="2" t="str">
        <f>[1]Sheet1!Q471</f>
        <v>177000 $</v>
      </c>
      <c r="G477" s="3">
        <f>[1]Sheet1!I471</f>
        <v>177000</v>
      </c>
      <c r="H477" s="2" t="str">
        <f>[1]Sheet1!N471</f>
        <v>Full-Time</v>
      </c>
      <c r="I477" s="2" t="str">
        <f>[1]Sheet1!O471</f>
        <v>Large</v>
      </c>
      <c r="J477" s="2" t="str">
        <f>[1]Sheet1!R471</f>
        <v>United States</v>
      </c>
      <c r="K477" s="2" t="str">
        <f>[1]Sheet1!S471</f>
        <v>United States</v>
      </c>
      <c r="L477" s="1"/>
    </row>
    <row r="478" spans="2:12">
      <c r="B478">
        <f>[1]Sheet1!B472</f>
        <v>469</v>
      </c>
      <c r="C478" s="2">
        <f>[1]Sheet1!C472</f>
        <v>2022</v>
      </c>
      <c r="D478" s="2" t="str">
        <f>[1]Sheet1!F472</f>
        <v>Data Scientist</v>
      </c>
      <c r="E478" s="2" t="str">
        <f>[1]Sheet1!Y471</f>
        <v>Mid-Level</v>
      </c>
      <c r="F478" s="2" t="str">
        <f>[1]Sheet1!Q472</f>
        <v>78000 $</v>
      </c>
      <c r="G478" s="3">
        <f>[1]Sheet1!I472</f>
        <v>78000</v>
      </c>
      <c r="H478" s="2" t="str">
        <f>[1]Sheet1!N472</f>
        <v>Full-Time</v>
      </c>
      <c r="I478" s="2" t="str">
        <f>[1]Sheet1!O472</f>
        <v>Contract</v>
      </c>
      <c r="J478" s="2" t="str">
        <f>[1]Sheet1!R472</f>
        <v>United States</v>
      </c>
      <c r="K478" s="2" t="str">
        <f>[1]Sheet1!S472</f>
        <v>United States</v>
      </c>
      <c r="L478" s="1"/>
    </row>
    <row r="479" spans="2:12">
      <c r="B479">
        <f>[1]Sheet1!B473</f>
        <v>470</v>
      </c>
      <c r="C479" s="2">
        <f>[1]Sheet1!C473</f>
        <v>2022</v>
      </c>
      <c r="D479" s="2" t="str">
        <f>[1]Sheet1!F473</f>
        <v>Data Analyst</v>
      </c>
      <c r="E479" s="2" t="str">
        <f>[1]Sheet1!Y472</f>
        <v>Senior-Level</v>
      </c>
      <c r="F479" s="2" t="str">
        <f>[1]Sheet1!Q473</f>
        <v>100000 $</v>
      </c>
      <c r="G479" s="3">
        <f>[1]Sheet1!I473</f>
        <v>100000</v>
      </c>
      <c r="H479" s="2" t="str">
        <f>[1]Sheet1!N473</f>
        <v>Full-Time</v>
      </c>
      <c r="I479" s="2" t="str">
        <f>[1]Sheet1!O473</f>
        <v>Contract</v>
      </c>
      <c r="J479" s="2" t="str">
        <f>[1]Sheet1!R473</f>
        <v>United States</v>
      </c>
      <c r="K479" s="2" t="str">
        <f>[1]Sheet1!S473</f>
        <v>United States</v>
      </c>
      <c r="L479" s="1"/>
    </row>
    <row r="480" spans="2:12">
      <c r="B480">
        <f>[1]Sheet1!B474</f>
        <v>471</v>
      </c>
      <c r="C480" s="2">
        <f>[1]Sheet1!C474</f>
        <v>2022</v>
      </c>
      <c r="D480" s="2" t="str">
        <f>[1]Sheet1!F474</f>
        <v>Data Analyst</v>
      </c>
      <c r="E480" s="2" t="str">
        <f>[1]Sheet1!Y473</f>
        <v>Mid-Level</v>
      </c>
      <c r="F480" s="2" t="str">
        <f>[1]Sheet1!Q474</f>
        <v>85000 $</v>
      </c>
      <c r="G480" s="3">
        <f>[1]Sheet1!I474</f>
        <v>85000</v>
      </c>
      <c r="H480" s="2" t="str">
        <f>[1]Sheet1!N474</f>
        <v>Full-Time</v>
      </c>
      <c r="I480" s="2" t="str">
        <f>[1]Sheet1!O474</f>
        <v>Contract</v>
      </c>
      <c r="J480" s="2" t="str">
        <f>[1]Sheet1!R474</f>
        <v>Canada</v>
      </c>
      <c r="K480" s="2" t="str">
        <f>[1]Sheet1!S474</f>
        <v>Canada</v>
      </c>
      <c r="L480" s="1"/>
    </row>
    <row r="481" spans="2:12">
      <c r="B481">
        <f>[1]Sheet1!B475</f>
        <v>472</v>
      </c>
      <c r="C481" s="2">
        <f>[1]Sheet1!C475</f>
        <v>2022</v>
      </c>
      <c r="D481" s="2" t="str">
        <f>[1]Sheet1!F475</f>
        <v>Data Analyst</v>
      </c>
      <c r="E481" s="2" t="str">
        <f>[1]Sheet1!Y474</f>
        <v>Mid-Level</v>
      </c>
      <c r="F481" s="2" t="str">
        <f>[1]Sheet1!Q475</f>
        <v>75000 $</v>
      </c>
      <c r="G481" s="3">
        <f>[1]Sheet1!I475</f>
        <v>75000</v>
      </c>
      <c r="H481" s="2" t="str">
        <f>[1]Sheet1!N475</f>
        <v>Full-Time</v>
      </c>
      <c r="I481" s="2" t="str">
        <f>[1]Sheet1!O475</f>
        <v>Contract</v>
      </c>
      <c r="J481" s="2" t="str">
        <f>[1]Sheet1!R475</f>
        <v>Canada</v>
      </c>
      <c r="K481" s="2" t="str">
        <f>[1]Sheet1!S475</f>
        <v>Canada</v>
      </c>
      <c r="L481" s="1"/>
    </row>
    <row r="482" spans="2:12">
      <c r="B482">
        <f>[1]Sheet1!B476</f>
        <v>473</v>
      </c>
      <c r="C482" s="2">
        <f>[1]Sheet1!C476</f>
        <v>2022</v>
      </c>
      <c r="D482" s="2" t="str">
        <f>[1]Sheet1!F476</f>
        <v>Machine Learning Engineer</v>
      </c>
      <c r="E482" s="2" t="str">
        <f>[1]Sheet1!Y475</f>
        <v>Senior-Level</v>
      </c>
      <c r="F482" s="2" t="str">
        <f>[1]Sheet1!Q476</f>
        <v>214000 $</v>
      </c>
      <c r="G482" s="3">
        <f>[1]Sheet1!I476</f>
        <v>214000</v>
      </c>
      <c r="H482" s="2" t="str">
        <f>[1]Sheet1!N476</f>
        <v>Full-Time</v>
      </c>
      <c r="I482" s="2" t="str">
        <f>[1]Sheet1!O476</f>
        <v>Contract</v>
      </c>
      <c r="J482" s="2" t="str">
        <f>[1]Sheet1!R476</f>
        <v>United States</v>
      </c>
      <c r="K482" s="2" t="str">
        <f>[1]Sheet1!S476</f>
        <v>United States</v>
      </c>
      <c r="L482" s="1"/>
    </row>
    <row r="483" spans="2:12">
      <c r="B483">
        <f>[1]Sheet1!B477</f>
        <v>474</v>
      </c>
      <c r="C483" s="2">
        <f>[1]Sheet1!C477</f>
        <v>2022</v>
      </c>
      <c r="D483" s="2" t="str">
        <f>[1]Sheet1!F477</f>
        <v>Machine Learning Engineer</v>
      </c>
      <c r="E483" s="2" t="str">
        <f>[1]Sheet1!Y476</f>
        <v>Senior-Level</v>
      </c>
      <c r="F483" s="2" t="str">
        <f>[1]Sheet1!Q477</f>
        <v>192600 $</v>
      </c>
      <c r="G483" s="3">
        <f>[1]Sheet1!I477</f>
        <v>192600</v>
      </c>
      <c r="H483" s="2" t="str">
        <f>[1]Sheet1!N477</f>
        <v>Full-Time</v>
      </c>
      <c r="I483" s="2" t="str">
        <f>[1]Sheet1!O477</f>
        <v>Contract</v>
      </c>
      <c r="J483" s="2" t="str">
        <f>[1]Sheet1!R477</f>
        <v>United States</v>
      </c>
      <c r="K483" s="2" t="str">
        <f>[1]Sheet1!S477</f>
        <v>United States</v>
      </c>
      <c r="L483" s="1"/>
    </row>
    <row r="484" spans="2:12">
      <c r="B484">
        <f>[1]Sheet1!B478</f>
        <v>475</v>
      </c>
      <c r="C484" s="2">
        <f>[1]Sheet1!C478</f>
        <v>2022</v>
      </c>
      <c r="D484" s="2" t="str">
        <f>[1]Sheet1!F478</f>
        <v>Data Architect</v>
      </c>
      <c r="E484" s="2" t="str">
        <f>[1]Sheet1!Y477</f>
        <v>Senior-Level</v>
      </c>
      <c r="F484" s="2" t="str">
        <f>[1]Sheet1!Q478</f>
        <v>266400 $</v>
      </c>
      <c r="G484" s="3">
        <f>[1]Sheet1!I478</f>
        <v>266400</v>
      </c>
      <c r="H484" s="2" t="str">
        <f>[1]Sheet1!N478</f>
        <v>Full-Time</v>
      </c>
      <c r="I484" s="2" t="str">
        <f>[1]Sheet1!O478</f>
        <v>Contract</v>
      </c>
      <c r="J484" s="2" t="str">
        <f>[1]Sheet1!R478</f>
        <v>United States</v>
      </c>
      <c r="K484" s="2" t="str">
        <f>[1]Sheet1!S478</f>
        <v>United States</v>
      </c>
      <c r="L484" s="1"/>
    </row>
    <row r="485" spans="2:12">
      <c r="B485">
        <f>[1]Sheet1!B479</f>
        <v>476</v>
      </c>
      <c r="C485" s="2">
        <f>[1]Sheet1!C479</f>
        <v>2022</v>
      </c>
      <c r="D485" s="2" t="str">
        <f>[1]Sheet1!F479</f>
        <v>Data Architect</v>
      </c>
      <c r="E485" s="2" t="str">
        <f>[1]Sheet1!Y478</f>
        <v>Senior-Level</v>
      </c>
      <c r="F485" s="2" t="str">
        <f>[1]Sheet1!Q479</f>
        <v>213120 $</v>
      </c>
      <c r="G485" s="3">
        <f>[1]Sheet1!I479</f>
        <v>213120</v>
      </c>
      <c r="H485" s="2" t="str">
        <f>[1]Sheet1!N479</f>
        <v>Full-Time</v>
      </c>
      <c r="I485" s="2" t="str">
        <f>[1]Sheet1!O479</f>
        <v>Contract</v>
      </c>
      <c r="J485" s="2" t="str">
        <f>[1]Sheet1!R479</f>
        <v>United States</v>
      </c>
      <c r="K485" s="2" t="str">
        <f>[1]Sheet1!S479</f>
        <v>United States</v>
      </c>
      <c r="L485" s="1"/>
    </row>
    <row r="486" spans="2:12">
      <c r="B486">
        <f>[1]Sheet1!B480</f>
        <v>477</v>
      </c>
      <c r="C486" s="2">
        <f>[1]Sheet1!C480</f>
        <v>2022</v>
      </c>
      <c r="D486" s="2" t="str">
        <f>[1]Sheet1!F480</f>
        <v>Data Scientist</v>
      </c>
      <c r="E486" s="2" t="str">
        <f>[1]Sheet1!Y479</f>
        <v>Mid-Level</v>
      </c>
      <c r="F486" s="2" t="str">
        <f>[1]Sheet1!Q480</f>
        <v>141300 $</v>
      </c>
      <c r="G486" s="3">
        <f>[1]Sheet1!I480</f>
        <v>141300</v>
      </c>
      <c r="H486" s="2" t="str">
        <f>[1]Sheet1!N480</f>
        <v>Full-Time</v>
      </c>
      <c r="I486" s="2" t="str">
        <f>[1]Sheet1!O480</f>
        <v>Contract</v>
      </c>
      <c r="J486" s="2" t="str">
        <f>[1]Sheet1!R480</f>
        <v>United States</v>
      </c>
      <c r="K486" s="2" t="str">
        <f>[1]Sheet1!S480</f>
        <v>United States</v>
      </c>
      <c r="L486" s="1"/>
    </row>
    <row r="487" spans="2:12">
      <c r="B487">
        <f>[1]Sheet1!B481</f>
        <v>478</v>
      </c>
      <c r="C487" s="2">
        <f>[1]Sheet1!C481</f>
        <v>2022</v>
      </c>
      <c r="D487" s="2" t="str">
        <f>[1]Sheet1!F481</f>
        <v>Data Scientist</v>
      </c>
      <c r="E487" s="2" t="str">
        <f>[1]Sheet1!Y480</f>
        <v>Mid-Level</v>
      </c>
      <c r="F487" s="2" t="str">
        <f>[1]Sheet1!Q481</f>
        <v>102100 $</v>
      </c>
      <c r="G487" s="3">
        <f>[1]Sheet1!I481</f>
        <v>102100</v>
      </c>
      <c r="H487" s="2" t="str">
        <f>[1]Sheet1!N481</f>
        <v>Full-Time</v>
      </c>
      <c r="I487" s="2" t="str">
        <f>[1]Sheet1!O481</f>
        <v>Contract</v>
      </c>
      <c r="J487" s="2" t="str">
        <f>[1]Sheet1!R481</f>
        <v>United States</v>
      </c>
      <c r="K487" s="2" t="str">
        <f>[1]Sheet1!S481</f>
        <v>United States</v>
      </c>
      <c r="L487" s="1"/>
    </row>
    <row r="488" spans="2:12">
      <c r="B488">
        <f>[1]Sheet1!B482</f>
        <v>479</v>
      </c>
      <c r="C488" s="2">
        <f>[1]Sheet1!C482</f>
        <v>2022</v>
      </c>
      <c r="D488" s="2" t="str">
        <f>[1]Sheet1!F482</f>
        <v>Data Engineer</v>
      </c>
      <c r="E488" s="2" t="str">
        <f>[1]Sheet1!Y481</f>
        <v>Mid-Level</v>
      </c>
      <c r="F488" s="2" t="str">
        <f>[1]Sheet1!Q482</f>
        <v>206699 $</v>
      </c>
      <c r="G488" s="3">
        <f>[1]Sheet1!I482</f>
        <v>206699</v>
      </c>
      <c r="H488" s="2" t="str">
        <f>[1]Sheet1!N482</f>
        <v>Full-Time</v>
      </c>
      <c r="I488" s="2" t="str">
        <f>[1]Sheet1!O482</f>
        <v>Contract</v>
      </c>
      <c r="J488" s="2" t="str">
        <f>[1]Sheet1!R482</f>
        <v>United States</v>
      </c>
      <c r="K488" s="2" t="str">
        <f>[1]Sheet1!S482</f>
        <v>United States</v>
      </c>
      <c r="L488" s="1"/>
    </row>
    <row r="489" spans="2:12">
      <c r="B489">
        <f>[1]Sheet1!B483</f>
        <v>480</v>
      </c>
      <c r="C489" s="2">
        <f>[1]Sheet1!C483</f>
        <v>2022</v>
      </c>
      <c r="D489" s="2" t="str">
        <f>[1]Sheet1!F483</f>
        <v>Data Engineer</v>
      </c>
      <c r="E489" s="2" t="str">
        <f>[1]Sheet1!Y482</f>
        <v>Mid-Level</v>
      </c>
      <c r="F489" s="2" t="str">
        <f>[1]Sheet1!Q483</f>
        <v>99100 $</v>
      </c>
      <c r="G489" s="3">
        <f>[1]Sheet1!I483</f>
        <v>99100</v>
      </c>
      <c r="H489" s="2" t="str">
        <f>[1]Sheet1!N483</f>
        <v>Full-Time</v>
      </c>
      <c r="I489" s="2" t="str">
        <f>[1]Sheet1!O483</f>
        <v>Contract</v>
      </c>
      <c r="J489" s="2" t="str">
        <f>[1]Sheet1!R483</f>
        <v>United States</v>
      </c>
      <c r="K489" s="2" t="str">
        <f>[1]Sheet1!S483</f>
        <v>United States</v>
      </c>
      <c r="L489" s="1"/>
    </row>
    <row r="490" spans="2:12">
      <c r="B490">
        <f>[1]Sheet1!B484</f>
        <v>481</v>
      </c>
      <c r="C490" s="2">
        <f>[1]Sheet1!C484</f>
        <v>2022</v>
      </c>
      <c r="D490" s="2" t="str">
        <f>[1]Sheet1!F484</f>
        <v>Data Engineer</v>
      </c>
      <c r="E490" s="2" t="str">
        <f>[1]Sheet1!Y483</f>
        <v>Senior-Level</v>
      </c>
      <c r="F490" s="2" t="str">
        <f>[1]Sheet1!Q484</f>
        <v>130000 $</v>
      </c>
      <c r="G490" s="3">
        <f>[1]Sheet1!I484</f>
        <v>130000</v>
      </c>
      <c r="H490" s="2" t="str">
        <f>[1]Sheet1!N484</f>
        <v>Full-Time</v>
      </c>
      <c r="I490" s="2" t="str">
        <f>[1]Sheet1!O484</f>
        <v>Contract</v>
      </c>
      <c r="J490" s="2" t="str">
        <f>[1]Sheet1!R484</f>
        <v>United States</v>
      </c>
      <c r="K490" s="2" t="str">
        <f>[1]Sheet1!S484</f>
        <v>United States</v>
      </c>
      <c r="L490" s="1"/>
    </row>
    <row r="491" spans="2:12">
      <c r="B491">
        <f>[1]Sheet1!B485</f>
        <v>482</v>
      </c>
      <c r="C491" s="2">
        <f>[1]Sheet1!C485</f>
        <v>2022</v>
      </c>
      <c r="D491" s="2" t="str">
        <f>[1]Sheet1!F485</f>
        <v>Data Engineer</v>
      </c>
      <c r="E491" s="2" t="str">
        <f>[1]Sheet1!Y484</f>
        <v>Senior-Level</v>
      </c>
      <c r="F491" s="2" t="str">
        <f>[1]Sheet1!Q485</f>
        <v>110500 $</v>
      </c>
      <c r="G491" s="3">
        <f>[1]Sheet1!I485</f>
        <v>110500</v>
      </c>
      <c r="H491" s="2" t="str">
        <f>[1]Sheet1!N485</f>
        <v>Full-Time</v>
      </c>
      <c r="I491" s="2" t="str">
        <f>[1]Sheet1!O485</f>
        <v>Contract</v>
      </c>
      <c r="J491" s="2" t="str">
        <f>[1]Sheet1!R485</f>
        <v>United States</v>
      </c>
      <c r="K491" s="2" t="str">
        <f>[1]Sheet1!S485</f>
        <v>United States</v>
      </c>
      <c r="L491" s="1"/>
    </row>
    <row r="492" spans="2:12">
      <c r="B492">
        <f>[1]Sheet1!B486</f>
        <v>483</v>
      </c>
      <c r="C492" s="2">
        <f>[1]Sheet1!C486</f>
        <v>2022</v>
      </c>
      <c r="D492" s="2" t="str">
        <f>[1]Sheet1!F486</f>
        <v>Data Analyst</v>
      </c>
      <c r="E492" s="2" t="str">
        <f>[1]Sheet1!Y485</f>
        <v>Senior-Level</v>
      </c>
      <c r="F492" s="2" t="str">
        <f>[1]Sheet1!Q486</f>
        <v>99050 $</v>
      </c>
      <c r="G492" s="3">
        <f>[1]Sheet1!I486</f>
        <v>99050</v>
      </c>
      <c r="H492" s="2" t="str">
        <f>[1]Sheet1!N486</f>
        <v>Full-Time</v>
      </c>
      <c r="I492" s="2" t="str">
        <f>[1]Sheet1!O486</f>
        <v>Contract</v>
      </c>
      <c r="J492" s="2" t="str">
        <f>[1]Sheet1!R486</f>
        <v>United States</v>
      </c>
      <c r="K492" s="2" t="str">
        <f>[1]Sheet1!S486</f>
        <v>United States</v>
      </c>
      <c r="L492" s="1"/>
    </row>
    <row r="493" spans="2:12">
      <c r="B493">
        <f>[1]Sheet1!B487</f>
        <v>484</v>
      </c>
      <c r="C493" s="2">
        <f>[1]Sheet1!C487</f>
        <v>2022</v>
      </c>
      <c r="D493" s="2" t="str">
        <f>[1]Sheet1!F487</f>
        <v>Data Scientist</v>
      </c>
      <c r="E493" s="2" t="str">
        <f>[1]Sheet1!Y486</f>
        <v>Senior-Level</v>
      </c>
      <c r="F493" s="2" t="str">
        <f>[1]Sheet1!Q487</f>
        <v>205300 $</v>
      </c>
      <c r="G493" s="3">
        <f>[1]Sheet1!I487</f>
        <v>205300</v>
      </c>
      <c r="H493" s="2" t="str">
        <f>[1]Sheet1!N487</f>
        <v>Full-Time</v>
      </c>
      <c r="I493" s="2" t="str">
        <f>[1]Sheet1!O487</f>
        <v>Large</v>
      </c>
      <c r="J493" s="2" t="str">
        <f>[1]Sheet1!R487</f>
        <v>United States</v>
      </c>
      <c r="K493" s="2" t="str">
        <f>[1]Sheet1!S487</f>
        <v>United States</v>
      </c>
      <c r="L493" s="1"/>
    </row>
    <row r="494" spans="2:12">
      <c r="B494">
        <f>[1]Sheet1!B488</f>
        <v>485</v>
      </c>
      <c r="C494" s="2">
        <f>[1]Sheet1!C488</f>
        <v>2022</v>
      </c>
      <c r="D494" s="2" t="str">
        <f>[1]Sheet1!F488</f>
        <v>Data Scientist</v>
      </c>
      <c r="E494" s="2" t="str">
        <f>[1]Sheet1!Y487</f>
        <v>Senior-Level</v>
      </c>
      <c r="F494" s="2" t="str">
        <f>[1]Sheet1!Q488</f>
        <v>176000 $</v>
      </c>
      <c r="G494" s="3">
        <f>[1]Sheet1!I488</f>
        <v>176000</v>
      </c>
      <c r="H494" s="2" t="str">
        <f>[1]Sheet1!N488</f>
        <v>Full-Time</v>
      </c>
      <c r="I494" s="2" t="str">
        <f>[1]Sheet1!O488</f>
        <v>Contract</v>
      </c>
      <c r="J494" s="2" t="str">
        <f>[1]Sheet1!R488</f>
        <v>United States</v>
      </c>
      <c r="K494" s="2" t="str">
        <f>[1]Sheet1!S488</f>
        <v>United States</v>
      </c>
      <c r="L494" s="1"/>
    </row>
    <row r="495" spans="2:12">
      <c r="B495">
        <f>[1]Sheet1!B489</f>
        <v>486</v>
      </c>
      <c r="C495" s="2">
        <f>[1]Sheet1!C489</f>
        <v>2022</v>
      </c>
      <c r="D495" s="2" t="str">
        <f>[1]Sheet1!F489</f>
        <v>Data Scientist</v>
      </c>
      <c r="E495" s="2" t="str">
        <f>[1]Sheet1!Y488</f>
        <v>Senior-Level</v>
      </c>
      <c r="F495" s="2" t="str">
        <f>[1]Sheet1!Q489</f>
        <v>144000 $</v>
      </c>
      <c r="G495" s="3">
        <f>[1]Sheet1!I489</f>
        <v>144000</v>
      </c>
      <c r="H495" s="2" t="str">
        <f>[1]Sheet1!N489</f>
        <v>Full-Time</v>
      </c>
      <c r="I495" s="2" t="str">
        <f>[1]Sheet1!O489</f>
        <v>Contract</v>
      </c>
      <c r="J495" s="2" t="str">
        <f>[1]Sheet1!R489</f>
        <v>United States</v>
      </c>
      <c r="K495" s="2" t="str">
        <f>[1]Sheet1!S489</f>
        <v>United States</v>
      </c>
      <c r="L495" s="1"/>
    </row>
    <row r="496" spans="2:12">
      <c r="B496">
        <f>[1]Sheet1!B490</f>
        <v>487</v>
      </c>
      <c r="C496" s="2">
        <f>[1]Sheet1!C490</f>
        <v>2022</v>
      </c>
      <c r="D496" s="2" t="str">
        <f>[1]Sheet1!F490</f>
        <v>Data Engineer</v>
      </c>
      <c r="E496" s="2" t="str">
        <f>[1]Sheet1!Y489</f>
        <v>Senior-Level</v>
      </c>
      <c r="F496" s="2" t="str">
        <f>[1]Sheet1!Q490</f>
        <v>200100 $</v>
      </c>
      <c r="G496" s="3">
        <f>[1]Sheet1!I490</f>
        <v>200100</v>
      </c>
      <c r="H496" s="2" t="str">
        <f>[1]Sheet1!N490</f>
        <v>Full-Time</v>
      </c>
      <c r="I496" s="2" t="str">
        <f>[1]Sheet1!O490</f>
        <v>Contract</v>
      </c>
      <c r="J496" s="2" t="str">
        <f>[1]Sheet1!R490</f>
        <v>United States</v>
      </c>
      <c r="K496" s="2" t="str">
        <f>[1]Sheet1!S490</f>
        <v>United States</v>
      </c>
      <c r="L496" s="1"/>
    </row>
    <row r="497" spans="2:12">
      <c r="B497">
        <f>[1]Sheet1!B491</f>
        <v>488</v>
      </c>
      <c r="C497" s="2">
        <f>[1]Sheet1!C491</f>
        <v>2022</v>
      </c>
      <c r="D497" s="2" t="str">
        <f>[1]Sheet1!F491</f>
        <v>Data Engineer</v>
      </c>
      <c r="E497" s="2" t="str">
        <f>[1]Sheet1!Y490</f>
        <v>Senior-Level</v>
      </c>
      <c r="F497" s="2" t="str">
        <f>[1]Sheet1!Q491</f>
        <v>145000 $</v>
      </c>
      <c r="G497" s="3">
        <f>[1]Sheet1!I491</f>
        <v>145000</v>
      </c>
      <c r="H497" s="2" t="str">
        <f>[1]Sheet1!N491</f>
        <v>Full-Time</v>
      </c>
      <c r="I497" s="2" t="str">
        <f>[1]Sheet1!O491</f>
        <v>Contract</v>
      </c>
      <c r="J497" s="2" t="str">
        <f>[1]Sheet1!R491</f>
        <v>United States</v>
      </c>
      <c r="K497" s="2" t="str">
        <f>[1]Sheet1!S491</f>
        <v>United States</v>
      </c>
      <c r="L497" s="1"/>
    </row>
    <row r="498" spans="2:12">
      <c r="B498">
        <f>[1]Sheet1!B492</f>
        <v>489</v>
      </c>
      <c r="C498" s="2">
        <f>[1]Sheet1!C492</f>
        <v>2022</v>
      </c>
      <c r="D498" s="2" t="str">
        <f>[1]Sheet1!F492</f>
        <v>Data Engineer</v>
      </c>
      <c r="E498" s="2" t="str">
        <f>[1]Sheet1!Y491</f>
        <v>Senior-Level</v>
      </c>
      <c r="F498" s="2" t="str">
        <f>[1]Sheet1!Q492</f>
        <v>70500 $</v>
      </c>
      <c r="G498" s="3">
        <f>[1]Sheet1!I492</f>
        <v>70500</v>
      </c>
      <c r="H498" s="2" t="str">
        <f>[1]Sheet1!N492</f>
        <v>Full-Time</v>
      </c>
      <c r="I498" s="2" t="str">
        <f>[1]Sheet1!O492</f>
        <v>Contract</v>
      </c>
      <c r="J498" s="2" t="str">
        <f>[1]Sheet1!R492</f>
        <v>United States</v>
      </c>
      <c r="K498" s="2" t="str">
        <f>[1]Sheet1!S492</f>
        <v>United States</v>
      </c>
      <c r="L498" s="1"/>
    </row>
    <row r="499" spans="2:12">
      <c r="B499">
        <f>[1]Sheet1!B493</f>
        <v>490</v>
      </c>
      <c r="C499" s="2">
        <f>[1]Sheet1!C493</f>
        <v>2022</v>
      </c>
      <c r="D499" s="2" t="str">
        <f>[1]Sheet1!F493</f>
        <v>Analytics Engineer</v>
      </c>
      <c r="E499" s="2" t="str">
        <f>[1]Sheet1!Y492</f>
        <v>Senior-Level</v>
      </c>
      <c r="F499" s="2" t="str">
        <f>[1]Sheet1!Q493</f>
        <v>205300 $</v>
      </c>
      <c r="G499" s="3">
        <f>[1]Sheet1!I493</f>
        <v>205300</v>
      </c>
      <c r="H499" s="2" t="str">
        <f>[1]Sheet1!N493</f>
        <v>Full-Time</v>
      </c>
      <c r="I499" s="2" t="str">
        <f>[1]Sheet1!O493</f>
        <v>Contract</v>
      </c>
      <c r="J499" s="2" t="str">
        <f>[1]Sheet1!R493</f>
        <v>United States</v>
      </c>
      <c r="K499" s="2" t="str">
        <f>[1]Sheet1!S493</f>
        <v>United States</v>
      </c>
      <c r="L499" s="1"/>
    </row>
    <row r="500" spans="2:12">
      <c r="B500">
        <f>[1]Sheet1!B494</f>
        <v>491</v>
      </c>
      <c r="C500" s="2">
        <f>[1]Sheet1!C494</f>
        <v>2022</v>
      </c>
      <c r="D500" s="2" t="str">
        <f>[1]Sheet1!F494</f>
        <v>Analytics Engineer</v>
      </c>
      <c r="E500" s="2" t="str">
        <f>[1]Sheet1!Y493</f>
        <v>Senior-Level</v>
      </c>
      <c r="F500" s="2" t="str">
        <f>[1]Sheet1!Q494</f>
        <v>184700 $</v>
      </c>
      <c r="G500" s="3">
        <f>[1]Sheet1!I494</f>
        <v>184700</v>
      </c>
      <c r="H500" s="2" t="str">
        <f>[1]Sheet1!N494</f>
        <v>Full-Time</v>
      </c>
      <c r="I500" s="2" t="str">
        <f>[1]Sheet1!O494</f>
        <v>Contract</v>
      </c>
      <c r="J500" s="2" t="str">
        <f>[1]Sheet1!R494</f>
        <v>United States</v>
      </c>
      <c r="K500" s="2" t="str">
        <f>[1]Sheet1!S494</f>
        <v>United States</v>
      </c>
      <c r="L500" s="1"/>
    </row>
    <row r="501" spans="2:12">
      <c r="B501">
        <f>[1]Sheet1!B495</f>
        <v>492</v>
      </c>
      <c r="C501" s="2">
        <f>[1]Sheet1!C495</f>
        <v>2022</v>
      </c>
      <c r="D501" s="2" t="str">
        <f>[1]Sheet1!F495</f>
        <v>Data Engineer</v>
      </c>
      <c r="E501" s="2" t="str">
        <f>[1]Sheet1!Y494</f>
        <v>Senior-Level</v>
      </c>
      <c r="F501" s="2" t="str">
        <f>[1]Sheet1!Q495</f>
        <v>175100 $</v>
      </c>
      <c r="G501" s="3">
        <f>[1]Sheet1!I495</f>
        <v>175100</v>
      </c>
      <c r="H501" s="2" t="str">
        <f>[1]Sheet1!N495</f>
        <v>Full-Time</v>
      </c>
      <c r="I501" s="2" t="str">
        <f>[1]Sheet1!O495</f>
        <v>Contract</v>
      </c>
      <c r="J501" s="2" t="str">
        <f>[1]Sheet1!R495</f>
        <v>United States</v>
      </c>
      <c r="K501" s="2" t="str">
        <f>[1]Sheet1!S495</f>
        <v>United States</v>
      </c>
      <c r="L501" s="1"/>
    </row>
    <row r="502" spans="2:12">
      <c r="B502">
        <f>[1]Sheet1!B496</f>
        <v>493</v>
      </c>
      <c r="C502" s="2">
        <f>[1]Sheet1!C496</f>
        <v>2022</v>
      </c>
      <c r="D502" s="2" t="str">
        <f>[1]Sheet1!F496</f>
        <v>Data Engineer</v>
      </c>
      <c r="E502" s="2" t="str">
        <f>[1]Sheet1!Y495</f>
        <v>Senior-Level</v>
      </c>
      <c r="F502" s="2" t="str">
        <f>[1]Sheet1!Q496</f>
        <v>140250 $</v>
      </c>
      <c r="G502" s="3">
        <f>[1]Sheet1!I496</f>
        <v>140250</v>
      </c>
      <c r="H502" s="2" t="str">
        <f>[1]Sheet1!N496</f>
        <v>Full-Time</v>
      </c>
      <c r="I502" s="2" t="str">
        <f>[1]Sheet1!O496</f>
        <v>Contract</v>
      </c>
      <c r="J502" s="2" t="str">
        <f>[1]Sheet1!R496</f>
        <v>United States</v>
      </c>
      <c r="K502" s="2" t="str">
        <f>[1]Sheet1!S496</f>
        <v>United States</v>
      </c>
      <c r="L502" s="1"/>
    </row>
    <row r="503" spans="2:12">
      <c r="B503">
        <f>[1]Sheet1!B497</f>
        <v>494</v>
      </c>
      <c r="C503" s="2">
        <f>[1]Sheet1!C497</f>
        <v>2022</v>
      </c>
      <c r="D503" s="2" t="str">
        <f>[1]Sheet1!F497</f>
        <v>Data Analyst</v>
      </c>
      <c r="E503" s="2" t="str">
        <f>[1]Sheet1!Y496</f>
        <v>Senior-Level</v>
      </c>
      <c r="F503" s="2" t="str">
        <f>[1]Sheet1!Q497</f>
        <v>116150 $</v>
      </c>
      <c r="G503" s="3">
        <f>[1]Sheet1!I497</f>
        <v>116150</v>
      </c>
      <c r="H503" s="2" t="str">
        <f>[1]Sheet1!N497</f>
        <v>Full-Time</v>
      </c>
      <c r="I503" s="2" t="str">
        <f>[1]Sheet1!O497</f>
        <v>Contract</v>
      </c>
      <c r="J503" s="2" t="str">
        <f>[1]Sheet1!R497</f>
        <v>United States</v>
      </c>
      <c r="K503" s="2" t="str">
        <f>[1]Sheet1!S497</f>
        <v>United States</v>
      </c>
      <c r="L503" s="1"/>
    </row>
    <row r="504" spans="2:12">
      <c r="B504">
        <f>[1]Sheet1!B498</f>
        <v>495</v>
      </c>
      <c r="C504" s="2">
        <f>[1]Sheet1!C498</f>
        <v>2022</v>
      </c>
      <c r="D504" s="2" t="str">
        <f>[1]Sheet1!F498</f>
        <v>Data Engineer</v>
      </c>
      <c r="E504" s="2" t="str">
        <f>[1]Sheet1!Y497</f>
        <v>Senior-Level</v>
      </c>
      <c r="F504" s="2" t="str">
        <f>[1]Sheet1!Q498</f>
        <v>54000 $</v>
      </c>
      <c r="G504" s="3">
        <f>[1]Sheet1!I498</f>
        <v>54000</v>
      </c>
      <c r="H504" s="2" t="str">
        <f>[1]Sheet1!N498</f>
        <v>Full-Time</v>
      </c>
      <c r="I504" s="2" t="str">
        <f>[1]Sheet1!O498</f>
        <v>Contract</v>
      </c>
      <c r="J504" s="2" t="str">
        <f>[1]Sheet1!R498</f>
        <v>United States</v>
      </c>
      <c r="K504" s="2" t="str">
        <f>[1]Sheet1!S498</f>
        <v>United States</v>
      </c>
      <c r="L504" s="1"/>
    </row>
    <row r="505" spans="2:12">
      <c r="B505">
        <f>[1]Sheet1!B499</f>
        <v>496</v>
      </c>
      <c r="C505" s="2">
        <f>[1]Sheet1!C499</f>
        <v>2022</v>
      </c>
      <c r="D505" s="2" t="str">
        <f>[1]Sheet1!F499</f>
        <v>Data Analyst</v>
      </c>
      <c r="E505" s="2" t="str">
        <f>[1]Sheet1!Y498</f>
        <v>Mid-Level</v>
      </c>
      <c r="F505" s="2" t="str">
        <f>[1]Sheet1!Q499</f>
        <v>50000 £</v>
      </c>
      <c r="G505" s="3">
        <f>[1]Sheet1!I499</f>
        <v>65438</v>
      </c>
      <c r="H505" s="2" t="str">
        <f>[1]Sheet1!N499</f>
        <v>Full-Time</v>
      </c>
      <c r="I505" s="2" t="str">
        <f>[1]Sheet1!O499</f>
        <v>Contract</v>
      </c>
      <c r="J505" s="2" t="str">
        <f>[1]Sheet1!R499</f>
        <v>United Kingdom</v>
      </c>
      <c r="K505" s="2" t="str">
        <f>[1]Sheet1!S499</f>
        <v>United Kingdom</v>
      </c>
      <c r="L505" s="1"/>
    </row>
    <row r="506" spans="2:12">
      <c r="B506">
        <f>[1]Sheet1!B500</f>
        <v>497</v>
      </c>
      <c r="C506" s="2">
        <f>[1]Sheet1!C500</f>
        <v>2022</v>
      </c>
      <c r="D506" s="2" t="str">
        <f>[1]Sheet1!F500</f>
        <v>Data Scientist</v>
      </c>
      <c r="E506" s="2" t="str">
        <f>[1]Sheet1!Y499</f>
        <v>Senior-Level</v>
      </c>
      <c r="F506" s="2" t="str">
        <f>[1]Sheet1!Q500</f>
        <v>210000 $</v>
      </c>
      <c r="G506" s="3">
        <f>[1]Sheet1!I500</f>
        <v>210000</v>
      </c>
      <c r="H506" s="2" t="str">
        <f>[1]Sheet1!N500</f>
        <v>Full-Time</v>
      </c>
      <c r="I506" s="2" t="str">
        <f>[1]Sheet1!O500</f>
        <v>Contract</v>
      </c>
      <c r="J506" s="2" t="str">
        <f>[1]Sheet1!R500</f>
        <v>United States</v>
      </c>
      <c r="K506" s="2" t="str">
        <f>[1]Sheet1!S500</f>
        <v>United States</v>
      </c>
      <c r="L506" s="1"/>
    </row>
    <row r="507" spans="2:12">
      <c r="B507">
        <f>[1]Sheet1!B501</f>
        <v>498</v>
      </c>
      <c r="C507" s="2">
        <f>[1]Sheet1!C501</f>
        <v>2022</v>
      </c>
      <c r="D507" s="2" t="str">
        <f>[1]Sheet1!F501</f>
        <v>Data Analyst</v>
      </c>
      <c r="E507" s="2" t="str">
        <f>[1]Sheet1!Y500</f>
        <v>Senior-Level</v>
      </c>
      <c r="F507" s="2" t="str">
        <f>[1]Sheet1!Q501</f>
        <v>69000 $</v>
      </c>
      <c r="G507" s="3">
        <f>[1]Sheet1!I501</f>
        <v>69000</v>
      </c>
      <c r="H507" s="2" t="str">
        <f>[1]Sheet1!N501</f>
        <v>Full-Time</v>
      </c>
      <c r="I507" s="2" t="str">
        <f>[1]Sheet1!O501</f>
        <v>Contract</v>
      </c>
      <c r="J507" s="2" t="str">
        <f>[1]Sheet1!R501</f>
        <v>United States</v>
      </c>
      <c r="K507" s="2" t="str">
        <f>[1]Sheet1!S501</f>
        <v>United States</v>
      </c>
      <c r="L507" s="1"/>
    </row>
    <row r="508" spans="2:12">
      <c r="B508">
        <f>[1]Sheet1!B502</f>
        <v>499</v>
      </c>
      <c r="C508" s="2">
        <f>[1]Sheet1!C502</f>
        <v>2022</v>
      </c>
      <c r="D508" s="2" t="str">
        <f>[1]Sheet1!F502</f>
        <v>Data Analyst</v>
      </c>
      <c r="E508" s="2" t="str">
        <f>[1]Sheet1!Y501</f>
        <v>Senior-Level</v>
      </c>
      <c r="F508" s="2" t="str">
        <f>[1]Sheet1!Q502</f>
        <v>150075 $</v>
      </c>
      <c r="G508" s="3">
        <f>[1]Sheet1!I502</f>
        <v>150075</v>
      </c>
      <c r="H508" s="2" t="str">
        <f>[1]Sheet1!N502</f>
        <v>Full-Time</v>
      </c>
      <c r="I508" s="2" t="str">
        <f>[1]Sheet1!O502</f>
        <v>Contract</v>
      </c>
      <c r="J508" s="2" t="str">
        <f>[1]Sheet1!R502</f>
        <v>United States</v>
      </c>
      <c r="K508" s="2" t="str">
        <f>[1]Sheet1!S502</f>
        <v>United States</v>
      </c>
      <c r="L508" s="1"/>
    </row>
    <row r="509" spans="2:12">
      <c r="B509">
        <f>[1]Sheet1!B503</f>
        <v>500</v>
      </c>
      <c r="C509" s="2">
        <f>[1]Sheet1!C503</f>
        <v>2022</v>
      </c>
      <c r="D509" s="2" t="str">
        <f>[1]Sheet1!F503</f>
        <v>Data Engineer</v>
      </c>
      <c r="E509" s="2" t="str">
        <f>[1]Sheet1!Y502</f>
        <v>Senior-Level</v>
      </c>
      <c r="F509" s="2" t="str">
        <f>[1]Sheet1!Q503</f>
        <v>25000 $</v>
      </c>
      <c r="G509" s="3">
        <f>[1]Sheet1!I503</f>
        <v>25000</v>
      </c>
      <c r="H509" s="2" t="str">
        <f>[1]Sheet1!N503</f>
        <v>Full-Time</v>
      </c>
      <c r="I509" s="2" t="str">
        <f>[1]Sheet1!O503</f>
        <v>Contract</v>
      </c>
      <c r="J509" s="2" t="str">
        <f>[1]Sheet1!R503</f>
        <v>United States</v>
      </c>
      <c r="K509" s="2" t="str">
        <f>[1]Sheet1!S503</f>
        <v>United States</v>
      </c>
      <c r="L509" s="1"/>
    </row>
    <row r="510" spans="2:12">
      <c r="B510">
        <f>[1]Sheet1!B504</f>
        <v>501</v>
      </c>
      <c r="C510" s="2">
        <f>[1]Sheet1!C504</f>
        <v>2022</v>
      </c>
      <c r="D510" s="2" t="str">
        <f>[1]Sheet1!F504</f>
        <v>Data Analyst</v>
      </c>
      <c r="E510" s="2" t="str">
        <f>[1]Sheet1!Y503</f>
        <v>Senior-Level</v>
      </c>
      <c r="F510" s="2" t="str">
        <f>[1]Sheet1!Q504</f>
        <v>105000 $</v>
      </c>
      <c r="G510" s="3">
        <f>[1]Sheet1!I504</f>
        <v>105000</v>
      </c>
      <c r="H510" s="2" t="str">
        <f>[1]Sheet1!N504</f>
        <v>Full-Time</v>
      </c>
      <c r="I510" s="2" t="str">
        <f>[1]Sheet1!O504</f>
        <v>Contract</v>
      </c>
      <c r="J510" s="2" t="str">
        <f>[1]Sheet1!R504</f>
        <v>United States</v>
      </c>
      <c r="K510" s="2" t="str">
        <f>[1]Sheet1!S504</f>
        <v>United States</v>
      </c>
      <c r="L510" s="1"/>
    </row>
    <row r="511" spans="2:12">
      <c r="B511">
        <f>[1]Sheet1!B505</f>
        <v>502</v>
      </c>
      <c r="C511" s="2">
        <f>[1]Sheet1!C505</f>
        <v>2022</v>
      </c>
      <c r="D511" s="2" t="str">
        <f>[1]Sheet1!F505</f>
        <v>Data Analyst</v>
      </c>
      <c r="E511" s="2" t="str">
        <f>[1]Sheet1!Y504</f>
        <v>Senior-Level</v>
      </c>
      <c r="F511" s="2" t="str">
        <f>[1]Sheet1!Q505</f>
        <v>110925 $</v>
      </c>
      <c r="G511" s="3">
        <f>[1]Sheet1!I505</f>
        <v>110925</v>
      </c>
      <c r="H511" s="2" t="str">
        <f>[1]Sheet1!N505</f>
        <v>Full-Time</v>
      </c>
      <c r="I511" s="2" t="str">
        <f>[1]Sheet1!O505</f>
        <v>Contract</v>
      </c>
      <c r="J511" s="2" t="str">
        <f>[1]Sheet1!R505</f>
        <v>United States</v>
      </c>
      <c r="K511" s="2" t="str">
        <f>[1]Sheet1!S505</f>
        <v>United States</v>
      </c>
      <c r="L511" s="1"/>
    </row>
    <row r="512" spans="2:12">
      <c r="B512">
        <f>[1]Sheet1!B506</f>
        <v>503</v>
      </c>
      <c r="C512" s="2">
        <f>[1]Sheet1!C506</f>
        <v>2022</v>
      </c>
      <c r="D512" s="2" t="str">
        <f>[1]Sheet1!F506</f>
        <v>Data Analyst</v>
      </c>
      <c r="E512" s="2" t="str">
        <f>[1]Sheet1!Y505</f>
        <v>Mid-Level</v>
      </c>
      <c r="F512" s="2" t="str">
        <f>[1]Sheet1!Q506</f>
        <v>35000 £</v>
      </c>
      <c r="G512" s="3">
        <f>[1]Sheet1!I506</f>
        <v>45807</v>
      </c>
      <c r="H512" s="2" t="str">
        <f>[1]Sheet1!N506</f>
        <v>Full-Time</v>
      </c>
      <c r="I512" s="2" t="str">
        <f>[1]Sheet1!O506</f>
        <v>Contract</v>
      </c>
      <c r="J512" s="2" t="str">
        <f>[1]Sheet1!R506</f>
        <v>United Kingdom</v>
      </c>
      <c r="K512" s="2" t="str">
        <f>[1]Sheet1!S506</f>
        <v>United Kingdom</v>
      </c>
      <c r="L512" s="1"/>
    </row>
    <row r="513" spans="2:12">
      <c r="B513">
        <f>[1]Sheet1!B507</f>
        <v>504</v>
      </c>
      <c r="C513" s="2">
        <f>[1]Sheet1!C507</f>
        <v>2022</v>
      </c>
      <c r="D513" s="2" t="str">
        <f>[1]Sheet1!F507</f>
        <v>Data Architect</v>
      </c>
      <c r="E513" s="2" t="str">
        <f>[1]Sheet1!Y506</f>
        <v>Senior-Level</v>
      </c>
      <c r="F513" s="2" t="str">
        <f>[1]Sheet1!Q507</f>
        <v>192564 $</v>
      </c>
      <c r="G513" s="3">
        <f>[1]Sheet1!I507</f>
        <v>192564</v>
      </c>
      <c r="H513" s="2" t="str">
        <f>[1]Sheet1!N507</f>
        <v>Full-Time</v>
      </c>
      <c r="I513" s="2" t="str">
        <f>[1]Sheet1!O507</f>
        <v>Contract</v>
      </c>
      <c r="J513" s="2" t="str">
        <f>[1]Sheet1!R507</f>
        <v>United States</v>
      </c>
      <c r="K513" s="2" t="str">
        <f>[1]Sheet1!S507</f>
        <v>United States</v>
      </c>
      <c r="L513" s="1"/>
    </row>
    <row r="514" spans="2:12">
      <c r="B514">
        <f>[1]Sheet1!B508</f>
        <v>505</v>
      </c>
      <c r="C514" s="2">
        <f>[1]Sheet1!C508</f>
        <v>2022</v>
      </c>
      <c r="D514" s="2" t="str">
        <f>[1]Sheet1!F508</f>
        <v>Data Architect</v>
      </c>
      <c r="E514" s="2" t="str">
        <f>[1]Sheet1!Y507</f>
        <v>Senior-Level</v>
      </c>
      <c r="F514" s="2" t="str">
        <f>[1]Sheet1!Q508</f>
        <v>144854 $</v>
      </c>
      <c r="G514" s="3">
        <f>[1]Sheet1!I508</f>
        <v>144854</v>
      </c>
      <c r="H514" s="2" t="str">
        <f>[1]Sheet1!N508</f>
        <v>Full-Time</v>
      </c>
      <c r="I514" s="2" t="str">
        <f>[1]Sheet1!O508</f>
        <v>Contract</v>
      </c>
      <c r="J514" s="2" t="str">
        <f>[1]Sheet1!R508</f>
        <v>United States</v>
      </c>
      <c r="K514" s="2" t="str">
        <f>[1]Sheet1!S508</f>
        <v>United States</v>
      </c>
      <c r="L514" s="1"/>
    </row>
    <row r="515" spans="2:12">
      <c r="B515">
        <f>[1]Sheet1!B509</f>
        <v>506</v>
      </c>
      <c r="C515" s="2">
        <f>[1]Sheet1!C509</f>
        <v>2022</v>
      </c>
      <c r="D515" s="2" t="str">
        <f>[1]Sheet1!F509</f>
        <v>Data Analytics Manager</v>
      </c>
      <c r="E515" s="2" t="str">
        <f>[1]Sheet1!Y508</f>
        <v>Senior-Level</v>
      </c>
      <c r="F515" s="2" t="str">
        <f>[1]Sheet1!Q509</f>
        <v>150260 $</v>
      </c>
      <c r="G515" s="3">
        <f>[1]Sheet1!I509</f>
        <v>150260</v>
      </c>
      <c r="H515" s="2" t="str">
        <f>[1]Sheet1!N509</f>
        <v>Full-Time</v>
      </c>
      <c r="I515" s="2" t="str">
        <f>[1]Sheet1!O509</f>
        <v>Contract</v>
      </c>
      <c r="J515" s="2" t="str">
        <f>[1]Sheet1!R509</f>
        <v>United States</v>
      </c>
      <c r="K515" s="2" t="str">
        <f>[1]Sheet1!S509</f>
        <v>United States</v>
      </c>
      <c r="L515" s="1"/>
    </row>
    <row r="516" spans="2:12">
      <c r="B516">
        <f>[1]Sheet1!B510</f>
        <v>507</v>
      </c>
      <c r="C516" s="2">
        <f>[1]Sheet1!C510</f>
        <v>2022</v>
      </c>
      <c r="D516" s="2" t="str">
        <f>[1]Sheet1!F510</f>
        <v>Data Analytics Manager</v>
      </c>
      <c r="E516" s="2" t="str">
        <f>[1]Sheet1!Y509</f>
        <v>Senior-Level</v>
      </c>
      <c r="F516" s="2" t="str">
        <f>[1]Sheet1!Q510</f>
        <v>109280 $</v>
      </c>
      <c r="G516" s="3">
        <f>[1]Sheet1!I510</f>
        <v>109280</v>
      </c>
      <c r="H516" s="2" t="str">
        <f>[1]Sheet1!N510</f>
        <v>Full-Time</v>
      </c>
      <c r="I516" s="2" t="str">
        <f>[1]Sheet1!O510</f>
        <v>Contract</v>
      </c>
      <c r="J516" s="2" t="str">
        <f>[1]Sheet1!R510</f>
        <v>United States</v>
      </c>
      <c r="K516" s="2" t="str">
        <f>[1]Sheet1!S510</f>
        <v>United States</v>
      </c>
      <c r="L516" s="1"/>
    </row>
    <row r="517" spans="2:12">
      <c r="B517">
        <f>[1]Sheet1!B511</f>
        <v>508</v>
      </c>
      <c r="C517" s="2">
        <f>[1]Sheet1!C511</f>
        <v>2022</v>
      </c>
      <c r="D517" s="2" t="str">
        <f>[1]Sheet1!F511</f>
        <v>Data Analyst</v>
      </c>
      <c r="E517" s="2" t="str">
        <f>[1]Sheet1!Y510</f>
        <v>Entry-Level</v>
      </c>
      <c r="F517" s="2" t="str">
        <f>[1]Sheet1!Q511</f>
        <v>67000 $</v>
      </c>
      <c r="G517" s="3">
        <f>[1]Sheet1!I511</f>
        <v>67000</v>
      </c>
      <c r="H517" s="2" t="str">
        <f>[1]Sheet1!N511</f>
        <v>Full-Time</v>
      </c>
      <c r="I517" s="2" t="str">
        <f>[1]Sheet1!O511</f>
        <v>Contract</v>
      </c>
      <c r="J517" s="2" t="str">
        <f>[1]Sheet1!R511</f>
        <v>Canada</v>
      </c>
      <c r="K517" s="2" t="str">
        <f>[1]Sheet1!S511</f>
        <v>Canada</v>
      </c>
      <c r="L517" s="1"/>
    </row>
    <row r="518" spans="2:12">
      <c r="B518">
        <f>[1]Sheet1!B512</f>
        <v>509</v>
      </c>
      <c r="C518" s="2">
        <f>[1]Sheet1!C512</f>
        <v>2022</v>
      </c>
      <c r="D518" s="2" t="str">
        <f>[1]Sheet1!F512</f>
        <v>Data Analyst</v>
      </c>
      <c r="E518" s="2" t="str">
        <f>[1]Sheet1!Y511</f>
        <v>Entry-Level</v>
      </c>
      <c r="F518" s="2" t="str">
        <f>[1]Sheet1!Q512</f>
        <v>52000 $</v>
      </c>
      <c r="G518" s="3">
        <f>[1]Sheet1!I512</f>
        <v>52000</v>
      </c>
      <c r="H518" s="2" t="str">
        <f>[1]Sheet1!N512</f>
        <v>Full-Time</v>
      </c>
      <c r="I518" s="2" t="str">
        <f>[1]Sheet1!O512</f>
        <v>Contract</v>
      </c>
      <c r="J518" s="2" t="str">
        <f>[1]Sheet1!R512</f>
        <v>Canada</v>
      </c>
      <c r="K518" s="2" t="str">
        <f>[1]Sheet1!S512</f>
        <v>Canada</v>
      </c>
      <c r="L518" s="1"/>
    </row>
    <row r="519" spans="2:12">
      <c r="B519">
        <f>[1]Sheet1!B513</f>
        <v>510</v>
      </c>
      <c r="C519" s="2">
        <f>[1]Sheet1!C513</f>
        <v>2022</v>
      </c>
      <c r="D519" s="2" t="str">
        <f>[1]Sheet1!F513</f>
        <v>Data Engineer</v>
      </c>
      <c r="E519" s="2" t="str">
        <f>[1]Sheet1!Y512</f>
        <v>Senior-Level</v>
      </c>
      <c r="F519" s="2" t="str">
        <f>[1]Sheet1!Q513</f>
        <v>154000 $</v>
      </c>
      <c r="G519" s="3">
        <f>[1]Sheet1!I513</f>
        <v>154000</v>
      </c>
      <c r="H519" s="2" t="str">
        <f>[1]Sheet1!N513</f>
        <v>Full-Time</v>
      </c>
      <c r="I519" s="2" t="str">
        <f>[1]Sheet1!O513</f>
        <v>Contract</v>
      </c>
      <c r="J519" s="2" t="str">
        <f>[1]Sheet1!R513</f>
        <v>United States</v>
      </c>
      <c r="K519" s="2" t="str">
        <f>[1]Sheet1!S513</f>
        <v>United States</v>
      </c>
      <c r="L519" s="1"/>
    </row>
    <row r="520" spans="2:12">
      <c r="B520">
        <f>[1]Sheet1!B514</f>
        <v>511</v>
      </c>
      <c r="C520" s="2">
        <f>[1]Sheet1!C514</f>
        <v>2022</v>
      </c>
      <c r="D520" s="2" t="str">
        <f>[1]Sheet1!F514</f>
        <v>Data Engineer</v>
      </c>
      <c r="E520" s="2" t="str">
        <f>[1]Sheet1!Y513</f>
        <v>Senior-Level</v>
      </c>
      <c r="F520" s="2" t="str">
        <f>[1]Sheet1!Q514</f>
        <v>126000 $</v>
      </c>
      <c r="G520" s="3">
        <f>[1]Sheet1!I514</f>
        <v>126000</v>
      </c>
      <c r="H520" s="2" t="str">
        <f>[1]Sheet1!N514</f>
        <v>Full-Time</v>
      </c>
      <c r="I520" s="2" t="str">
        <f>[1]Sheet1!O514</f>
        <v>Contract</v>
      </c>
      <c r="J520" s="2" t="str">
        <f>[1]Sheet1!R514</f>
        <v>United States</v>
      </c>
      <c r="K520" s="2" t="str">
        <f>[1]Sheet1!S514</f>
        <v>United States</v>
      </c>
      <c r="L520" s="1"/>
    </row>
    <row r="521" spans="2:12">
      <c r="B521">
        <f>[1]Sheet1!B515</f>
        <v>512</v>
      </c>
      <c r="C521" s="2">
        <f>[1]Sheet1!C515</f>
        <v>2022</v>
      </c>
      <c r="D521" s="2" t="str">
        <f>[1]Sheet1!F515</f>
        <v>Data Analyst</v>
      </c>
      <c r="E521" s="2" t="str">
        <f>[1]Sheet1!Y514</f>
        <v>Senior-Level</v>
      </c>
      <c r="F521" s="2" t="str">
        <f>[1]Sheet1!Q515</f>
        <v>129000 $</v>
      </c>
      <c r="G521" s="3">
        <f>[1]Sheet1!I515</f>
        <v>129000</v>
      </c>
      <c r="H521" s="2" t="str">
        <f>[1]Sheet1!N515</f>
        <v>Full-Time</v>
      </c>
      <c r="I521" s="2" t="str">
        <f>[1]Sheet1!O515</f>
        <v>Contract</v>
      </c>
      <c r="J521" s="2" t="str">
        <f>[1]Sheet1!R515</f>
        <v>United States</v>
      </c>
      <c r="K521" s="2" t="str">
        <f>[1]Sheet1!S515</f>
        <v>United States</v>
      </c>
      <c r="L521" s="1"/>
    </row>
    <row r="522" spans="2:12">
      <c r="B522">
        <f>[1]Sheet1!B516</f>
        <v>513</v>
      </c>
      <c r="C522" s="2">
        <f>[1]Sheet1!C516</f>
        <v>2022</v>
      </c>
      <c r="D522" s="2" t="str">
        <f>[1]Sheet1!F516</f>
        <v>Data Analyst</v>
      </c>
      <c r="E522" s="2" t="str">
        <f>[1]Sheet1!Y515</f>
        <v>Senior-Level</v>
      </c>
      <c r="F522" s="2" t="str">
        <f>[1]Sheet1!Q516</f>
        <v>150000 $</v>
      </c>
      <c r="G522" s="3">
        <f>[1]Sheet1!I516</f>
        <v>150000</v>
      </c>
      <c r="H522" s="2" t="str">
        <f>[1]Sheet1!N516</f>
        <v>Full-Time</v>
      </c>
      <c r="I522" s="2" t="str">
        <f>[1]Sheet1!O516</f>
        <v>Contract</v>
      </c>
      <c r="J522" s="2" t="str">
        <f>[1]Sheet1!R516</f>
        <v>United States</v>
      </c>
      <c r="K522" s="2" t="str">
        <f>[1]Sheet1!S516</f>
        <v>United States</v>
      </c>
      <c r="L522" s="1"/>
    </row>
    <row r="523" spans="2:12">
      <c r="B523">
        <f>[1]Sheet1!B517</f>
        <v>514</v>
      </c>
      <c r="C523" s="2">
        <f>[1]Sheet1!C517</f>
        <v>2022</v>
      </c>
      <c r="D523" s="2" t="str">
        <f>[1]Sheet1!F517</f>
        <v>AI Scientist</v>
      </c>
      <c r="E523" s="2" t="str">
        <f>[1]Sheet1!Y516</f>
        <v>Mid-Level</v>
      </c>
      <c r="F523" s="2" t="str">
        <f>[1]Sheet1!Q517</f>
        <v>200000 $</v>
      </c>
      <c r="G523" s="3">
        <f>[1]Sheet1!I517</f>
        <v>200000</v>
      </c>
      <c r="H523" s="2" t="str">
        <f>[1]Sheet1!N517</f>
        <v>Full-Time</v>
      </c>
      <c r="I523" s="2" t="str">
        <f>[1]Sheet1!O517</f>
        <v>Large</v>
      </c>
      <c r="J523" s="2" t="str">
        <f>[1]Sheet1!R517</f>
        <v>India</v>
      </c>
      <c r="K523" s="2" t="str">
        <f>[1]Sheet1!S517</f>
        <v>United States</v>
      </c>
      <c r="L523" s="1"/>
    </row>
  </sheetData>
  <mergeCells count="5">
    <mergeCell ref="M8:O8"/>
    <mergeCell ref="M17:O17"/>
    <mergeCell ref="M28:O28"/>
    <mergeCell ref="M42:R42"/>
    <mergeCell ref="D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of Salaries 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Shivalika Singh</dc:creator>
  <cp:lastModifiedBy>Shivalika Singh</cp:lastModifiedBy>
  <dcterms:created xsi:type="dcterms:W3CDTF">2025-12-01T18:41:29Z</dcterms:created>
  <dcterms:modified xsi:type="dcterms:W3CDTF">2025-12-01T18:44:36Z</dcterms:modified>
</cp:coreProperties>
</file>